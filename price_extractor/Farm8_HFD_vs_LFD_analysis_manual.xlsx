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yijinggong/Library/CloudStorage/Box-Box/phd/RL-for-Culling/price_extractor/"/>
    </mc:Choice>
  </mc:AlternateContent>
  <xr:revisionPtr revIDLastSave="0" documentId="8_{6F0CC60A-0DA0-2F4A-B442-01F8BFCC7475}" xr6:coauthVersionLast="47" xr6:coauthVersionMax="47" xr10:uidLastSave="{00000000-0000-0000-0000-000000000000}"/>
  <bookViews>
    <workbookView xWindow="44800" yWindow="2440" windowWidth="38400" windowHeight="21000" activeTab="3" xr2:uid="{00000000-000D-0000-FFFF-FFFF00000000}"/>
  </bookViews>
  <sheets>
    <sheet name="EmissionsEstimator" sheetId="1" r:id="rId1"/>
    <sheet name="animal DMI pen3" sheetId="2" r:id="rId2"/>
    <sheet name="animal enteric methane emission" sheetId="3" r:id="rId3"/>
    <sheet name="animal herd statiscs milk prod" sheetId="4" r:id="rId4"/>
    <sheet name="animal manure streams" sheetId="5" r:id="rId5"/>
    <sheet name="manure pens" sheetId="6" r:id="rId6"/>
    <sheet name="ration" sheetId="7" r:id="rId7"/>
    <sheet name="ration optimiz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4" l="1"/>
  <c r="D67" i="4"/>
  <c r="E67" i="4"/>
  <c r="F67" i="4"/>
  <c r="G67" i="4"/>
  <c r="H67" i="4"/>
  <c r="I67" i="4"/>
  <c r="J67" i="4"/>
  <c r="K67" i="4"/>
  <c r="L67" i="4"/>
  <c r="M67" i="4"/>
  <c r="B67" i="4"/>
</calcChain>
</file>

<file path=xl/sharedStrings.xml><?xml version="1.0" encoding="utf-8"?>
<sst xmlns="http://schemas.openxmlformats.org/spreadsheetml/2006/main" count="405" uniqueCount="316">
  <si>
    <t>Metric</t>
  </si>
  <si>
    <t>HFD_Run 1</t>
  </si>
  <si>
    <t>LFD_Run 1</t>
  </si>
  <si>
    <t>HFD_Run 2</t>
  </si>
  <si>
    <t>LFD_Run 2</t>
  </si>
  <si>
    <t>HFD_Run 3</t>
  </si>
  <si>
    <t>LFD_Run 3</t>
  </si>
  <si>
    <t>HFD_Run 4</t>
  </si>
  <si>
    <t>LFD_Run 4</t>
  </si>
  <si>
    <t>HFD_Mean</t>
  </si>
  <si>
    <t>HFD_SD</t>
  </si>
  <si>
    <t>LFD_Mean</t>
  </si>
  <si>
    <t>LFD_SD</t>
  </si>
  <si>
    <t>EmissionsEstimator._report_daily_farmgrown_feed_fed_emissions_and_resources.ammonia_nitrogen_emissions_for_feed_50 (kg)</t>
  </si>
  <si>
    <t>EmissionsEstimator._report_daily_farmgrown_feed_fed_emissions_and_resources.ammonia_nitrogen_emissions_for_feed_51 (kg)</t>
  </si>
  <si>
    <t>EmissionsEstimator._report_daily_farmgrown_feed_fed_emissions_and_resources.direct_n2o_nitrogen_emissions_for_feed_50 (kg)</t>
  </si>
  <si>
    <t>EmissionsEstimator._report_daily_farmgrown_feed_fed_emissions_and_resources.direct_n2o_nitrogen_emissions_for_feed_51 (kg)</t>
  </si>
  <si>
    <t>EmissionsEstimator._report_daily_farmgrown_feed_fed_emissions_and_resources.manure_nitrogen_applied_for_feed_50 (kg)</t>
  </si>
  <si>
    <t>EmissionsEstimator._report_daily_farmgrown_feed_fed_emissions_and_resources.manure_nitrogen_applied_for_feed_51 (kg)</t>
  </si>
  <si>
    <t>EmissionsEstimator._report_daily_farmgrown_feed_fed_emissions_and_resources.nitrogen_fertilizer_applied_for_feed_50 (kg)</t>
  </si>
  <si>
    <t>EmissionsEstimator._report_daily_farmgrown_feed_fed_emissions_and_resources.nitrogen_fertilizer_applied_for_feed_51 (kg)</t>
  </si>
  <si>
    <t>EmissionsEstimator._report_daily_farmgrown_feed_fed_emissions_and_resources.phosphorus_fertilizer_applied_for_feed_50 (kg)</t>
  </si>
  <si>
    <t>EmissionsEstimator._report_daily_farmgrown_feed_fed_emissions_and_resources.phosphorus_fertilizer_applied_for_feed_51 (kg)</t>
  </si>
  <si>
    <t>EmissionsEstimator._report_daily_farmgrown_feed_fed_emissions_and_resources.potassium_fertilizer_applied_for_feed_50 (kg)</t>
  </si>
  <si>
    <t>EmissionsEstimator._report_daily_farmgrown_feed_fed_emissions_and_resources.potassium_fertilizer_applied_for_feed_51 (kg)</t>
  </si>
  <si>
    <t>EmissionsEstimator.calculate_purchased_feed_emissions.land_use_change_emissions.104 (kg CO2 / kg DM)</t>
  </si>
  <si>
    <t>EmissionsEstimator.calculate_purchased_feed_emissions.land_use_change_emissions.110 (kg CO2 / kg DM)</t>
  </si>
  <si>
    <t>EmissionsEstimator.calculate_purchased_feed_emissions.land_use_change_emissions.167 (kg CO2 / kg DM)</t>
  </si>
  <si>
    <t>EmissionsEstimator.calculate_purchased_feed_emissions.land_use_change_emissions.202 (kg CO2 / kg DM)</t>
  </si>
  <si>
    <t>EmissionsEstimator.calculate_purchased_feed_emissions.land_use_change_emissions.302 (kg CO2 / kg DM)</t>
  </si>
  <si>
    <t>EmissionsEstimator.calculate_purchased_feed_emissions.land_use_change_emissions.44 (kg CO2 / kg DM)</t>
  </si>
  <si>
    <t>EmissionsEstimator.calculate_purchased_feed_emissions.land_use_change_emissions.50 (kg CO2 / kg DM)</t>
  </si>
  <si>
    <t>EmissionsEstimator.calculate_purchased_feed_emissions.land_use_change_emissions.51 (kg CO2 / kg DM)</t>
  </si>
  <si>
    <t>EmissionsEstimator.calculate_purchased_feed_emissions.land_use_change_emissions.66 (kg CO2 / kg DM)</t>
  </si>
  <si>
    <t>EmissionsEstimator.calculate_purchased_feed_emissions.land_use_change_emissions.95 (kg CO2 / kg DM)</t>
  </si>
  <si>
    <t>EmissionsEstimator.calculate_purchased_feed_emissions.purchased_feed_emissions.104 (kg CO2 / kg DM)</t>
  </si>
  <si>
    <t>EmissionsEstimator.calculate_purchased_feed_emissions.purchased_feed_emissions.110 (kg CO2 / kg DM)</t>
  </si>
  <si>
    <t>EmissionsEstimator.calculate_purchased_feed_emissions.purchased_feed_emissions.167 (kg CO2 / kg DM)</t>
  </si>
  <si>
    <t>EmissionsEstimator.calculate_purchased_feed_emissions.purchased_feed_emissions.202 (kg CO2 / kg DM)</t>
  </si>
  <si>
    <t>EmissionsEstimator.calculate_purchased_feed_emissions.purchased_feed_emissions.302 (kg CO2 / kg DM)</t>
  </si>
  <si>
    <t>EmissionsEstimator.calculate_purchased_feed_emissions.purchased_feed_emissions.44 (kg CO2 / kg DM)</t>
  </si>
  <si>
    <t>EmissionsEstimator.calculate_purchased_feed_emissions.purchased_feed_emissions.50 (kg CO2 / kg DM)</t>
  </si>
  <si>
    <t>EmissionsEstimator.calculate_purchased_feed_emissions.purchased_feed_emissions.51 (kg CO2 / kg DM)</t>
  </si>
  <si>
    <t>EmissionsEstimator.calculate_purchased_feed_emissions.purchased_feed_emissions.66 (kg CO2 / kg DM)</t>
  </si>
  <si>
    <t>EmissionsEstimator.calculate_purchased_feed_emissions.purchased_feed_emissions.95 (kg CO2 / kg DM)</t>
  </si>
  <si>
    <t>AnimalModuleReporter.report_daily_ration_per_pen.ration_daily_feed_totals_for_pen_3_LAC_COW.110 (kg)</t>
  </si>
  <si>
    <t>AnimalModuleReporter.report_daily_ration_per_pen.ration_daily_feed_totals_for_pen_3_LAC_COW.167 (kg)</t>
  </si>
  <si>
    <t>AnimalModuleReporter.report_daily_ration_per_pen.ration_daily_feed_totals_for_pen_3_LAC_COW.301 (kg)</t>
  </si>
  <si>
    <t>AnimalModuleReporter.report_daily_ration_per_pen.ration_daily_feed_totals_for_pen_3_LAC_COW.44 (kg)</t>
  </si>
  <si>
    <t>AnimalModuleReporter.report_daily_ration_per_pen.ration_daily_feed_totals_for_pen_3_LAC_COW.51 (kg)</t>
  </si>
  <si>
    <t>AnimalModuleReporter.report_daily_ration_per_pen.ration_daily_feed_totals_for_pen_3_LAC_COW.66 (kg)</t>
  </si>
  <si>
    <t>AnimalModuleReporter.report_daily_ration_per_pen.ration_daily_feed_totals_for_pen_3_LAC_COW.byproducts_total (kg)</t>
  </si>
  <si>
    <t>AnimalModuleReporter.report_daily_ration_per_pen.ration_daily_feed_totals_for_pen_3_LAC_COW.dry_matter_intake_total (kg)</t>
  </si>
  <si>
    <t>AnimalModuleReporter.report_nutrient_amounts.ration_nutrient_amount_for_LAC_COW_PEN_3.ADF (kg/animal)</t>
  </si>
  <si>
    <t>AnimalModuleReporter.report_nutrient_amounts.ration_nutrient_amount_for_LAC_COW_PEN_3.CP (kg/animal)</t>
  </si>
  <si>
    <t>AnimalModuleReporter.report_nutrient_amounts.ration_nutrient_amount_for_LAC_COW_PEN_3.DE (Mcal)</t>
  </si>
  <si>
    <t>AnimalModuleReporter.report_nutrient_amounts.ration_nutrient_amount_for_LAC_COW_PEN_3.EE (kg/animal)</t>
  </si>
  <si>
    <t>AnimalModuleReporter.report_nutrient_amounts.ration_nutrient_amount_for_LAC_COW_PEN_3.ME (Mcal)</t>
  </si>
  <si>
    <t>AnimalModuleReporter.report_nutrient_amounts.ration_nutrient_amount_for_LAC_COW_PEN_3.N (kg/animal)</t>
  </si>
  <si>
    <t>AnimalModuleReporter.report_nutrient_amounts.ration_nutrient_amount_for_LAC_COW_PEN_3.NDF (kg/animal)</t>
  </si>
  <si>
    <t>AnimalModuleReporter.report_nutrient_amounts.ration_nutrient_amount_for_LAC_COW_PEN_3.NE_growth (Mcal)</t>
  </si>
  <si>
    <t>AnimalModuleReporter.report_nutrient_amounts.ration_nutrient_amount_for_LAC_COW_PEN_3.NE_lactation (Mcal)</t>
  </si>
  <si>
    <t>AnimalModuleReporter.report_nutrient_amounts.ration_nutrient_amount_for_LAC_COW_PEN_3.NE_maintenance_and_activity (Mcal)</t>
  </si>
  <si>
    <t>AnimalModuleReporter.report_nutrient_amounts.ration_nutrient_amount_for_LAC_COW_PEN_3.TDN (kg/animal)</t>
  </si>
  <si>
    <t>AnimalModuleReporter.report_nutrient_amounts.ration_nutrient_amount_for_LAC_COW_PEN_3.as_fed (kg/animal)</t>
  </si>
  <si>
    <t>AnimalModuleReporter.report_nutrient_amounts.ration_nutrient_amount_for_LAC_COW_PEN_3.ash (kg/animal)</t>
  </si>
  <si>
    <t>AnimalModuleReporter.report_nutrient_amounts.ration_nutrient_amount_for_LAC_COW_PEN_3.calcium (kg/animal)</t>
  </si>
  <si>
    <t>AnimalModuleReporter.report_nutrient_amounts.ration_nutrient_amount_for_LAC_COW_PEN_3.dm (kg/animal)</t>
  </si>
  <si>
    <t>AnimalModuleReporter.report_nutrient_amounts.ration_nutrient_amount_for_LAC_COW_PEN_3.fat (g)</t>
  </si>
  <si>
    <t>AnimalModuleReporter.report_nutrient_amounts.ration_nutrient_amount_for_LAC_COW_PEN_3.fat_percentage (percent)</t>
  </si>
  <si>
    <t>AnimalModuleReporter.report_nutrient_amounts.ration_nutrient_amount_for_LAC_COW_PEN_3.forage_ndf (kg)</t>
  </si>
  <si>
    <t>AnimalModuleReporter.report_nutrient_amounts.ration_nutrient_amount_for_LAC_COW_PEN_3.forage_ndf_percent (percent of DM)</t>
  </si>
  <si>
    <t>AnimalModuleReporter.report_nutrient_amounts.ration_nutrient_amount_for_LAC_COW_PEN_3.lignin (kg/animal)</t>
  </si>
  <si>
    <t>AnimalModuleReporter.report_nutrient_amounts.ration_nutrient_amount_for_LAC_COW_PEN_3.metabolizable_protein (g)</t>
  </si>
  <si>
    <t>AnimalModuleReporter.report_nutrient_amounts.ration_nutrient_amount_for_LAC_COW_PEN_3.phosphorus (kg/animal)</t>
  </si>
  <si>
    <t>AnimalModuleReporter.report_nutrient_amounts.ration_nutrient_amount_for_LAC_COW_PEN_3.potassium (kg/animal)</t>
  </si>
  <si>
    <t>AnimalModuleReporter.report_nutrient_amounts.ration_nutrient_amount_for_LAC_COW_PEN_3.starch (kg/animal)</t>
  </si>
  <si>
    <t>AnimalModuleReporter.report_enteric_methane_emission.enteric_methane_emission_for_CALF_PEN_0 (g)</t>
  </si>
  <si>
    <t>AnimalModuleReporter.report_enteric_methane_emission.enteric_methane_emission_for_CLOSE_UP_PEN_2 (g)</t>
  </si>
  <si>
    <t>AnimalModuleReporter.report_enteric_methane_emission.enteric_methane_emission_for_GROWING_PEN_1 (g)</t>
  </si>
  <si>
    <t>AnimalModuleReporter.report_enteric_methane_emission.enteric_methane_emission_for_LAC_COW_PEN_3 (g)</t>
  </si>
  <si>
    <t>AnimalModuleReporter.report_herd_statistics_data.GnRH_injection_num (injection)</t>
  </si>
  <si>
    <t>AnimalModuleReporter.report_herd_statistics_data.GnRH_injection_num_h (injection)</t>
  </si>
  <si>
    <t>AnimalModuleReporter.report_herd_statistics_data.PGF_injection_num (injection)</t>
  </si>
  <si>
    <t>AnimalModuleReporter.report_herd_statistics_data.PGF_injection_num_h (injection)</t>
  </si>
  <si>
    <t>AnimalModuleReporter.report_herd_statistics_data.ai_num (AI)</t>
  </si>
  <si>
    <t>AnimalModuleReporter.report_herd_statistics_data.ai_num_h (AI)</t>
  </si>
  <si>
    <t>AnimalModuleReporter.report_herd_statistics_data.avg_age_for_calving_1 (day)</t>
  </si>
  <si>
    <t>AnimalModuleReporter.report_herd_statistics_data.avg_age_for_calving_2 (day)</t>
  </si>
  <si>
    <t>AnimalModuleReporter.report_herd_statistics_data.avg_age_for_calving_3 (day)</t>
  </si>
  <si>
    <t>AnimalModuleReporter.report_herd_statistics_data.avg_age_for_calving_4 (day)</t>
  </si>
  <si>
    <t>AnimalModuleReporter.report_herd_statistics_data.avg_age_for_calving_5 (day)</t>
  </si>
  <si>
    <t>AnimalModuleReporter.report_herd_statistics_data.avg_age_for_calving_greater_than_5 (day)</t>
  </si>
  <si>
    <t>AnimalModuleReporter.report_herd_statistics_data.avg_breeding_to_preg_time (day)</t>
  </si>
  <si>
    <t>AnimalModuleReporter.report_herd_statistics_data.avg_calving_interval (day)</t>
  </si>
  <si>
    <t>AnimalModuleReporter.report_herd_statistics_data.avg_cow_body_weight (kg)</t>
  </si>
  <si>
    <t>AnimalModuleReporter.report_herd_statistics_data.avg_cow_culling_age (day)</t>
  </si>
  <si>
    <t>AnimalModuleReporter.report_herd_statistics_data.avg_days_in_milk (day)</t>
  </si>
  <si>
    <t>AnimalModuleReporter.report_herd_statistics_data.avg_days_in_preg (day)</t>
  </si>
  <si>
    <t>AnimalModuleReporter.report_herd_statistics_data.avg_heifer_culling_age (day)</t>
  </si>
  <si>
    <t>AnimalModuleReporter.report_herd_statistics_data.avg_mature_body_weight (kg)</t>
  </si>
  <si>
    <t>AnimalModuleReporter.report_herd_statistics_data.avg_parity_num (unitless)</t>
  </si>
  <si>
    <t>AnimalModuleReporter.report_herd_statistics_data.born_calf_num (animals)</t>
  </si>
  <si>
    <t>AnimalModuleReporter.report_herd_statistics_data.bought_heifer_num (animals)</t>
  </si>
  <si>
    <t>AnimalModuleReporter.report_herd_statistics_data.calving_to_preg_time_1 (day)</t>
  </si>
  <si>
    <t>AnimalModuleReporter.report_herd_statistics_data.calving_to_preg_time_2 (day)</t>
  </si>
  <si>
    <t>AnimalModuleReporter.report_herd_statistics_data.calving_to_preg_time_3 (day)</t>
  </si>
  <si>
    <t>AnimalModuleReporter.report_herd_statistics_data.calving_to_preg_time_4 (day)</t>
  </si>
  <si>
    <t>AnimalModuleReporter.report_herd_statistics_data.calving_to_preg_time_5 (day)</t>
  </si>
  <si>
    <t>AnimalModuleReporter.report_herd_statistics_data.calving_to_preg_time_greater_than_5 (day)</t>
  </si>
  <si>
    <t>AnimalModuleReporter.report_herd_statistics_data.cow_herd_exit_num (animals)</t>
  </si>
  <si>
    <t>AnimalModuleReporter.report_herd_statistics_data.cull_reason_stats.culled for death (unitless)</t>
  </si>
  <si>
    <t>AnimalModuleReporter.report_herd_statistics_data.cull_reason_stats.culled for disease (unitless)</t>
  </si>
  <si>
    <t>AnimalModuleReporter.report_herd_statistics_data.cull_reason_stats.culled for injury (unitless)</t>
  </si>
  <si>
    <t>AnimalModuleReporter.report_herd_statistics_data.cull_reason_stats.culled for lameness (unitless)</t>
  </si>
  <si>
    <t>AnimalModuleReporter.report_herd_statistics_data.cull_reason_stats.culled for low production (unitless)</t>
  </si>
  <si>
    <t>AnimalModuleReporter.report_herd_statistics_data.cull_reason_stats.culled for mastitis (unitless)</t>
  </si>
  <si>
    <t>AnimalModuleReporter.report_herd_statistics_data.cull_reason_stats.culled for udder (unitless)</t>
  </si>
  <si>
    <t>AnimalModuleReporter.report_herd_statistics_data.cull_reason_stats.culled for unknown (unitless)</t>
  </si>
  <si>
    <t>AnimalModuleReporter.report_herd_statistics_data.daily_milk_production (kg/day)</t>
  </si>
  <si>
    <t>AnimalModuleReporter.report_herd_statistics_data.dry_cow_num (animals)</t>
  </si>
  <si>
    <t>AnimalModuleReporter.report_herd_statistics_data.herd_milk_fat_kg (kg/day)</t>
  </si>
  <si>
    <t>AnimalModuleReporter.report_herd_statistics_data.herd_milk_fat_percent (unitless)</t>
  </si>
  <si>
    <t>AnimalModuleReporter.report_herd_statistics_data.herd_milk_protein_kg (kg/day)</t>
  </si>
  <si>
    <t>AnimalModuleReporter.report_herd_statistics_data.herd_milk_protein_percent (percent)</t>
  </si>
  <si>
    <t>AnimalModuleReporter.report_herd_statistics_data.milking_cow_num (animals)</t>
  </si>
  <si>
    <t>AnimalModuleReporter.report_herd_statistics_data.num_cow_for_parity_1 (animals)</t>
  </si>
  <si>
    <t>AnimalModuleReporter.report_herd_statistics_data.num_cow_for_parity_2 (animals)</t>
  </si>
  <si>
    <t>AnimalModuleReporter.report_herd_statistics_data.num_cow_for_parity_3 (animals)</t>
  </si>
  <si>
    <t>AnimalModuleReporter.report_herd_statistics_data.num_cow_for_parity_4 (animals)</t>
  </si>
  <si>
    <t>AnimalModuleReporter.report_herd_statistics_data.num_cow_for_parity_5 (animals)</t>
  </si>
  <si>
    <t>AnimalModuleReporter.report_herd_statistics_data.num_cow_for_parity_greater_than_5 (animals)</t>
  </si>
  <si>
    <t>AnimalModuleReporter.report_herd_statistics_data.num_cow_in_ed_period (animals)</t>
  </si>
  <si>
    <t>AnimalModuleReporter.report_herd_statistics_data.num_heiferII_in_ed_period (animals)</t>
  </si>
  <si>
    <t>AnimalModuleReporter.report_herd_statistics_data.open_cow_num (animals)</t>
  </si>
  <si>
    <t>AnimalModuleReporter.report_herd_statistics_data.preg_check_num (preg check)</t>
  </si>
  <si>
    <t>AnimalModuleReporter.report_herd_statistics_data.preg_check_num_h (preg check)</t>
  </si>
  <si>
    <t>AnimalModuleReporter.report_herd_statistics_data.preg_cow_num (animals)</t>
  </si>
  <si>
    <t>AnimalModuleReporter.report_herd_statistics_data.sold_calf_num (animals)</t>
  </si>
  <si>
    <t>AnimalModuleReporter.report_herd_statistics_data.sold_cow_num (animals)</t>
  </si>
  <si>
    <t>AnimalModuleReporter.report_herd_statistics_data.sold_heiferIII_oversupply_num (animals)</t>
  </si>
  <si>
    <t>AnimalModuleReporter.report_herd_statistics_data.sold_heiferII_num (animals)</t>
  </si>
  <si>
    <t>AnimalModuleReporter.report_herd_statistics_data.stillborn_calf_num (animals)</t>
  </si>
  <si>
    <t>AnimalModuleReporter.report_herd_statistics_data.vwp_cow_num (animals)</t>
  </si>
  <si>
    <t>AnimalModuleReporter.report_manure_streams.ammoniacal_nitrogen_dry_pen_CLOSE_UP_PEN_2 (kg)</t>
  </si>
  <si>
    <t>AnimalModuleReporter.report_manure_streams.ammoniacal_nitrogen_lac_parlor_PEN_3 (kg)</t>
  </si>
  <si>
    <t>AnimalModuleReporter.report_manure_streams.ammoniacal_nitrogen_lac_pen_CALF_PEN_0 (kg)</t>
  </si>
  <si>
    <t>AnimalModuleReporter.report_manure_streams.ammoniacal_nitrogen_lac_pen_GROWING_PEN_1 (kg)</t>
  </si>
  <si>
    <t>AnimalModuleReporter.report_manure_streams.ammoniacal_nitrogen_lac_pen_LAC_COW_PEN_3 (kg)</t>
  </si>
  <si>
    <t>AnimalModuleReporter.report_manure_streams.ash_dry_pen_CLOSE_UP_PEN_2 (kg)</t>
  </si>
  <si>
    <t>AnimalModuleReporter.report_manure_streams.ash_lac_parlor_PEN_3 (kg)</t>
  </si>
  <si>
    <t>AnimalModuleReporter.report_manure_streams.ash_lac_pen_CALF_PEN_0 (kg)</t>
  </si>
  <si>
    <t>AnimalModuleReporter.report_manure_streams.ash_lac_pen_GROWING_PEN_1 (kg)</t>
  </si>
  <si>
    <t>AnimalModuleReporter.report_manure_streams.ash_lac_pen_LAC_COW_PEN_3 (kg)</t>
  </si>
  <si>
    <t>AnimalModuleReporter.report_manure_streams.bedding_non_degradable_volatile_solids_dry_pen_CLOSE_UP_PEN_2 (kg)</t>
  </si>
  <si>
    <t>AnimalModuleReporter.report_manure_streams.bedding_non_degradable_volatile_solids_lac_parlor_PEN_3 (kg)</t>
  </si>
  <si>
    <t>AnimalModuleReporter.report_manure_streams.bedding_non_degradable_volatile_solids_lac_pen_CALF_PEN_0 (kg)</t>
  </si>
  <si>
    <t>AnimalModuleReporter.report_manure_streams.bedding_non_degradable_volatile_solids_lac_pen_GROWING_PEN_1 (kg)</t>
  </si>
  <si>
    <t>AnimalModuleReporter.report_manure_streams.bedding_non_degradable_volatile_solids_lac_pen_LAC_COW_PEN_3 (kg)</t>
  </si>
  <si>
    <t>AnimalModuleReporter.report_manure_streams.degradable_volatile_solids_dry_pen_CLOSE_UP_PEN_2 (kg)</t>
  </si>
  <si>
    <t>AnimalModuleReporter.report_manure_streams.degradable_volatile_solids_lac_parlor_PEN_3 (kg)</t>
  </si>
  <si>
    <t>AnimalModuleReporter.report_manure_streams.degradable_volatile_solids_lac_pen_CALF_PEN_0 (kg)</t>
  </si>
  <si>
    <t>AnimalModuleReporter.report_manure_streams.degradable_volatile_solids_lac_pen_GROWING_PEN_1 (kg)</t>
  </si>
  <si>
    <t>AnimalModuleReporter.report_manure_streams.degradable_volatile_solids_lac_pen_LAC_COW_PEN_3 (kg)</t>
  </si>
  <si>
    <t>AnimalModuleReporter.report_manure_streams.mass_dry_pen_CLOSE_UP_PEN_2 (kg)</t>
  </si>
  <si>
    <t>AnimalModuleReporter.report_manure_streams.mass_lac_parlor_PEN_3 (kg)</t>
  </si>
  <si>
    <t>AnimalModuleReporter.report_manure_streams.mass_lac_pen_CALF_PEN_0 (kg)</t>
  </si>
  <si>
    <t>AnimalModuleReporter.report_manure_streams.mass_lac_pen_GROWING_PEN_1 (kg)</t>
  </si>
  <si>
    <t>AnimalModuleReporter.report_manure_streams.mass_lac_pen_LAC_COW_PEN_3 (kg)</t>
  </si>
  <si>
    <t>AnimalModuleReporter.report_manure_streams.methane_production_potential_dry_pen_CLOSE_UP_PEN_2 (m^3/kg)</t>
  </si>
  <si>
    <t>AnimalModuleReporter.report_manure_streams.methane_production_potential_lac_parlor_PEN_3 (m^3/kg)</t>
  </si>
  <si>
    <t>AnimalModuleReporter.report_manure_streams.methane_production_potential_lac_pen_CALF_PEN_0 (m^3/kg)</t>
  </si>
  <si>
    <t>AnimalModuleReporter.report_manure_streams.methane_production_potential_lac_pen_GROWING_PEN_1 (m^3/kg)</t>
  </si>
  <si>
    <t>AnimalModuleReporter.report_manure_streams.methane_production_potential_lac_pen_LAC_COW_PEN_3 (m^3/kg)</t>
  </si>
  <si>
    <t>AnimalModuleReporter.report_manure_streams.nitrogen_dry_pen_CLOSE_UP_PEN_2 (kg)</t>
  </si>
  <si>
    <t>AnimalModuleReporter.report_manure_streams.nitrogen_lac_parlor_PEN_3 (kg)</t>
  </si>
  <si>
    <t>AnimalModuleReporter.report_manure_streams.nitrogen_lac_pen_CALF_PEN_0 (kg)</t>
  </si>
  <si>
    <t>AnimalModuleReporter.report_manure_streams.nitrogen_lac_pen_GROWING_PEN_1 (kg)</t>
  </si>
  <si>
    <t>AnimalModuleReporter.report_manure_streams.nitrogen_lac_pen_LAC_COW_PEN_3 (kg)</t>
  </si>
  <si>
    <t>AnimalModuleReporter.report_manure_streams.non_degradable_volatile_solids_dry_pen_CLOSE_UP_PEN_2 (kg)</t>
  </si>
  <si>
    <t>AnimalModuleReporter.report_manure_streams.non_degradable_volatile_solids_lac_parlor_PEN_3 (kg)</t>
  </si>
  <si>
    <t>AnimalModuleReporter.report_manure_streams.non_degradable_volatile_solids_lac_pen_CALF_PEN_0 (kg)</t>
  </si>
  <si>
    <t>AnimalModuleReporter.report_manure_streams.non_degradable_volatile_solids_lac_pen_GROWING_PEN_1 (kg)</t>
  </si>
  <si>
    <t>AnimalModuleReporter.report_manure_streams.non_degradable_volatile_solids_lac_pen_LAC_COW_PEN_3 (kg)</t>
  </si>
  <si>
    <t>AnimalModuleReporter.report_manure_streams.phosphorus_dry_pen_CLOSE_UP_PEN_2 (kg)</t>
  </si>
  <si>
    <t>AnimalModuleReporter.report_manure_streams.phosphorus_lac_parlor_PEN_3 (kg)</t>
  </si>
  <si>
    <t>AnimalModuleReporter.report_manure_streams.phosphorus_lac_pen_CALF_PEN_0 (kg)</t>
  </si>
  <si>
    <t>AnimalModuleReporter.report_manure_streams.phosphorus_lac_pen_GROWING_PEN_1 (kg)</t>
  </si>
  <si>
    <t>AnimalModuleReporter.report_manure_streams.phosphorus_lac_pen_LAC_COW_PEN_3 (kg)</t>
  </si>
  <si>
    <t>AnimalModuleReporter.report_manure_streams.potassium_dry_pen_CLOSE_UP_PEN_2 (kg)</t>
  </si>
  <si>
    <t>AnimalModuleReporter.report_manure_streams.potassium_lac_parlor_PEN_3 (kg)</t>
  </si>
  <si>
    <t>AnimalModuleReporter.report_manure_streams.potassium_lac_pen_CALF_PEN_0 (kg)</t>
  </si>
  <si>
    <t>AnimalModuleReporter.report_manure_streams.potassium_lac_pen_GROWING_PEN_1 (kg)</t>
  </si>
  <si>
    <t>AnimalModuleReporter.report_manure_streams.potassium_lac_pen_LAC_COW_PEN_3 (kg)</t>
  </si>
  <si>
    <t>AnimalModuleReporter.report_manure_streams.total_bedding_mass_dry_pen_CLOSE_UP_PEN_2 (kg)</t>
  </si>
  <si>
    <t>AnimalModuleReporter.report_manure_streams.total_bedding_mass_lac_pen_CALF_PEN_0 (kg)</t>
  </si>
  <si>
    <t>AnimalModuleReporter.report_manure_streams.total_bedding_mass_lac_pen_GROWING_PEN_1 (kg)</t>
  </si>
  <si>
    <t>AnimalModuleReporter.report_manure_streams.total_bedding_mass_lac_pen_LAC_COW_PEN_3 (kg)</t>
  </si>
  <si>
    <t>AnimalModuleReporter.report_manure_streams.total_bedding_volume_dry_pen_CLOSE_UP_PEN_2 (m^3)</t>
  </si>
  <si>
    <t>AnimalModuleReporter.report_manure_streams.total_bedding_volume_lac_pen_CALF_PEN_0 (m^3)</t>
  </si>
  <si>
    <t>AnimalModuleReporter.report_manure_streams.total_bedding_volume_lac_pen_GROWING_PEN_1 (m^3)</t>
  </si>
  <si>
    <t>AnimalModuleReporter.report_manure_streams.total_bedding_volume_lac_pen_LAC_COW_PEN_3 (m^3)</t>
  </si>
  <si>
    <t>AnimalModuleReporter.report_manure_streams.total_solids_dry_pen_CLOSE_UP_PEN_2 (kg)</t>
  </si>
  <si>
    <t>AnimalModuleReporter.report_manure_streams.total_solids_lac_parlor_PEN_3 (kg)</t>
  </si>
  <si>
    <t>AnimalModuleReporter.report_manure_streams.total_solids_lac_pen_CALF_PEN_0 (kg)</t>
  </si>
  <si>
    <t>AnimalModuleReporter.report_manure_streams.total_solids_lac_pen_GROWING_PEN_1 (kg)</t>
  </si>
  <si>
    <t>AnimalModuleReporter.report_manure_streams.total_solids_lac_pen_LAC_COW_PEN_3 (kg)</t>
  </si>
  <si>
    <t>AnimalModuleReporter.report_manure_streams.total_volatile_solids_dry_pen_CLOSE_UP_PEN_2 (kg)</t>
  </si>
  <si>
    <t>AnimalModuleReporter.report_manure_streams.total_volatile_solids_lac_parlor_PEN_3 (kg)</t>
  </si>
  <si>
    <t>AnimalModuleReporter.report_manure_streams.total_volatile_solids_lac_pen_CALF_PEN_0 (kg)</t>
  </si>
  <si>
    <t>AnimalModuleReporter.report_manure_streams.total_volatile_solids_lac_pen_GROWING_PEN_1 (kg)</t>
  </si>
  <si>
    <t>AnimalModuleReporter.report_manure_streams.total_volatile_solids_lac_pen_LAC_COW_PEN_3 (kg)</t>
  </si>
  <si>
    <t>AnimalModuleReporter.report_manure_streams.volume_dry_pen_CLOSE_UP_PEN_2 (m^3)</t>
  </si>
  <si>
    <t>AnimalModuleReporter.report_manure_streams.volume_lac_parlor_PEN_3 (m^3)</t>
  </si>
  <si>
    <t>AnimalModuleReporter.report_manure_streams.volume_lac_pen_CALF_PEN_0 (m^3)</t>
  </si>
  <si>
    <t>AnimalModuleReporter.report_manure_streams.volume_lac_pen_GROWING_PEN_1 (m^3)</t>
  </si>
  <si>
    <t>AnimalModuleReporter.report_manure_streams.volume_lac_pen_LAC_COW_PEN_3 (m^3)</t>
  </si>
  <si>
    <t>AnimalModuleReporter.report_manure_streams.water_dry_pen_CLOSE_UP_PEN_2 (kg)</t>
  </si>
  <si>
    <t>AnimalModuleReporter.report_manure_streams.water_lac_parlor_PEN_3 (kg)</t>
  </si>
  <si>
    <t>AnimalModuleReporter.report_manure_streams.water_lac_pen_CALF_PEN_0 (kg)</t>
  </si>
  <si>
    <t>AnimalModuleReporter.report_manure_streams.water_lac_pen_GROWING_PEN_1 (kg)</t>
  </si>
  <si>
    <t>AnimalModuleReporter.report_manure_streams.water_lac_pen_LAC_COW_PEN_3 (kg)</t>
  </si>
  <si>
    <t>AnimalModuleReporter.report_manure_excretions.CALF_PEN_0_degradable_volatile_solids (kg)</t>
  </si>
  <si>
    <t>AnimalModuleReporter.report_manure_excretions.CALF_PEN_0_inorganic_phosphorus_fraction (unitless)</t>
  </si>
  <si>
    <t>AnimalModuleReporter.report_manure_excretions.CALF_PEN_0_manure_mass (kg)</t>
  </si>
  <si>
    <t>AnimalModuleReporter.report_manure_excretions.CALF_PEN_0_manure_nitrogen (kg)</t>
  </si>
  <si>
    <t>AnimalModuleReporter.report_manure_excretions.CALF_PEN_0_manure_total_ammoniacal_nitrogen (kg)</t>
  </si>
  <si>
    <t>AnimalModuleReporter.report_manure_excretions.CALF_PEN_0_non_degradable_volatile_solids (kg)</t>
  </si>
  <si>
    <t>AnimalModuleReporter.report_manure_excretions.CALF_PEN_0_non_water_inorganic_phosphorus_fraction (unitless)</t>
  </si>
  <si>
    <t>AnimalModuleReporter.report_manure_excretions.CALF_PEN_0_non_water_organic_phosphorus_fraction (unitless)</t>
  </si>
  <si>
    <t>AnimalModuleReporter.report_manure_excretions.CALF_PEN_0_organic_phosphorus_fraction (unitless)</t>
  </si>
  <si>
    <t>AnimalModuleReporter.report_manure_excretions.CALF_PEN_0_phosphorus (g)</t>
  </si>
  <si>
    <t>AnimalModuleReporter.report_manure_excretions.CALF_PEN_0_phosphorus_fraction (unitless)</t>
  </si>
  <si>
    <t>AnimalModuleReporter.report_manure_excretions.CALF_PEN_0_potassium (g)</t>
  </si>
  <si>
    <t>AnimalModuleReporter.report_manure_excretions.CALF_PEN_0_total_solids (kg)</t>
  </si>
  <si>
    <t>AnimalModuleReporter.report_manure_excretions.CALF_PEN_0_urea (g/L)</t>
  </si>
  <si>
    <t>AnimalModuleReporter.report_manure_excretions.CALF_PEN_0_urine (kg)</t>
  </si>
  <si>
    <t>AnimalModuleReporter.report_manure_excretions.CALF_PEN_0_urine_nitrogen (kg)</t>
  </si>
  <si>
    <t>AnimalModuleReporter.report_manure_excretions.CLOSE_UP_PEN_2_degradable_volatile_solids (kg)</t>
  </si>
  <si>
    <t>AnimalModuleReporter.report_manure_excretions.CLOSE_UP_PEN_2_inorganic_phosphorus_fraction (unitless)</t>
  </si>
  <si>
    <t>AnimalModuleReporter.report_manure_excretions.CLOSE_UP_PEN_2_manure_mass (kg)</t>
  </si>
  <si>
    <t>AnimalModuleReporter.report_manure_excretions.CLOSE_UP_PEN_2_manure_nitrogen (kg)</t>
  </si>
  <si>
    <t>AnimalModuleReporter.report_manure_excretions.CLOSE_UP_PEN_2_manure_total_ammoniacal_nitrogen (kg)</t>
  </si>
  <si>
    <t>AnimalModuleReporter.report_manure_excretions.CLOSE_UP_PEN_2_non_degradable_volatile_solids (kg)</t>
  </si>
  <si>
    <t>AnimalModuleReporter.report_manure_excretions.CLOSE_UP_PEN_2_non_water_inorganic_phosphorus_fraction (unitless)</t>
  </si>
  <si>
    <t>AnimalModuleReporter.report_manure_excretions.CLOSE_UP_PEN_2_non_water_organic_phosphorus_fraction (unitless)</t>
  </si>
  <si>
    <t>AnimalModuleReporter.report_manure_excretions.CLOSE_UP_PEN_2_organic_phosphorus_fraction (unitless)</t>
  </si>
  <si>
    <t>AnimalModuleReporter.report_manure_excretions.CLOSE_UP_PEN_2_phosphorus (g)</t>
  </si>
  <si>
    <t>AnimalModuleReporter.report_manure_excretions.CLOSE_UP_PEN_2_phosphorus_fraction (unitless)</t>
  </si>
  <si>
    <t>AnimalModuleReporter.report_manure_excretions.CLOSE_UP_PEN_2_potassium (g)</t>
  </si>
  <si>
    <t>AnimalModuleReporter.report_manure_excretions.CLOSE_UP_PEN_2_total_solids (kg)</t>
  </si>
  <si>
    <t>AnimalModuleReporter.report_manure_excretions.CLOSE_UP_PEN_2_urea (g/L)</t>
  </si>
  <si>
    <t>AnimalModuleReporter.report_manure_excretions.CLOSE_UP_PEN_2_urine (kg)</t>
  </si>
  <si>
    <t>AnimalModuleReporter.report_manure_excretions.CLOSE_UP_PEN_2_urine_nitrogen (kg)</t>
  </si>
  <si>
    <t>AnimalModuleReporter.report_manure_excretions.GROWING_PEN_1_degradable_volatile_solids (kg)</t>
  </si>
  <si>
    <t>AnimalModuleReporter.report_manure_excretions.GROWING_PEN_1_inorganic_phosphorus_fraction (unitless)</t>
  </si>
  <si>
    <t>AnimalModuleReporter.report_manure_excretions.GROWING_PEN_1_manure_mass (kg)</t>
  </si>
  <si>
    <t>AnimalModuleReporter.report_manure_excretions.GROWING_PEN_1_manure_nitrogen (kg)</t>
  </si>
  <si>
    <t>AnimalModuleReporter.report_manure_excretions.GROWING_PEN_1_manure_total_ammoniacal_nitrogen (kg)</t>
  </si>
  <si>
    <t>AnimalModuleReporter.report_manure_excretions.GROWING_PEN_1_non_degradable_volatile_solids (kg)</t>
  </si>
  <si>
    <t>AnimalModuleReporter.report_manure_excretions.GROWING_PEN_1_non_water_inorganic_phosphorus_fraction (unitless)</t>
  </si>
  <si>
    <t>AnimalModuleReporter.report_manure_excretions.GROWING_PEN_1_non_water_organic_phosphorus_fraction (unitless)</t>
  </si>
  <si>
    <t>AnimalModuleReporter.report_manure_excretions.GROWING_PEN_1_organic_phosphorus_fraction (unitless)</t>
  </si>
  <si>
    <t>AnimalModuleReporter.report_manure_excretions.GROWING_PEN_1_phosphorus (g)</t>
  </si>
  <si>
    <t>AnimalModuleReporter.report_manure_excretions.GROWING_PEN_1_phosphorus_fraction (unitless)</t>
  </si>
  <si>
    <t>AnimalModuleReporter.report_manure_excretions.GROWING_PEN_1_potassium (g)</t>
  </si>
  <si>
    <t>AnimalModuleReporter.report_manure_excretions.GROWING_PEN_1_total_solids (kg)</t>
  </si>
  <si>
    <t>AnimalModuleReporter.report_manure_excretions.GROWING_PEN_1_urea (g/L)</t>
  </si>
  <si>
    <t>AnimalModuleReporter.report_manure_excretions.GROWING_PEN_1_urine (kg)</t>
  </si>
  <si>
    <t>AnimalModuleReporter.report_manure_excretions.GROWING_PEN_1_urine_nitrogen (kg)</t>
  </si>
  <si>
    <t>AnimalModuleReporter.report_manure_excretions.LAC_COW_PEN_3_degradable_volatile_solids (kg)</t>
  </si>
  <si>
    <t>AnimalModuleReporter.report_manure_excretions.LAC_COW_PEN_3_inorganic_phosphorus_fraction (unitless)</t>
  </si>
  <si>
    <t>AnimalModuleReporter.report_manure_excretions.LAC_COW_PEN_3_manure_mass (kg)</t>
  </si>
  <si>
    <t>AnimalModuleReporter.report_manure_excretions.LAC_COW_PEN_3_manure_nitrogen (kg)</t>
  </si>
  <si>
    <t>AnimalModuleReporter.report_manure_excretions.LAC_COW_PEN_3_manure_total_ammoniacal_nitrogen (kg)</t>
  </si>
  <si>
    <t>AnimalModuleReporter.report_manure_excretions.LAC_COW_PEN_3_non_degradable_volatile_solids (kg)</t>
  </si>
  <si>
    <t>AnimalModuleReporter.report_manure_excretions.LAC_COW_PEN_3_non_water_inorganic_phosphorus_fraction (unitless)</t>
  </si>
  <si>
    <t>AnimalModuleReporter.report_manure_excretions.LAC_COW_PEN_3_non_water_organic_phosphorus_fraction (unitless)</t>
  </si>
  <si>
    <t>AnimalModuleReporter.report_manure_excretions.LAC_COW_PEN_3_organic_phosphorus_fraction (unitless)</t>
  </si>
  <si>
    <t>AnimalModuleReporter.report_manure_excretions.LAC_COW_PEN_3_phosphorus (g)</t>
  </si>
  <si>
    <t>AnimalModuleReporter.report_manure_excretions.LAC_COW_PEN_3_phosphorus_fraction (unitless)</t>
  </si>
  <si>
    <t>AnimalModuleReporter.report_manure_excretions.LAC_COW_PEN_3_potassium (g)</t>
  </si>
  <si>
    <t>AnimalModuleReporter.report_manure_excretions.LAC_COW_PEN_3_total_solids (kg)</t>
  </si>
  <si>
    <t>AnimalModuleReporter.report_manure_excretions.LAC_COW_PEN_3_urea (g/L)</t>
  </si>
  <si>
    <t>AnimalModuleReporter.report_manure_excretions.LAC_COW_PEN_3_urine (kg)</t>
  </si>
  <si>
    <t>AnimalModuleReporter.report_manure_excretions.LAC_COW_PEN_3_urine_nitrogen (kg)</t>
  </si>
  <si>
    <t>AnimalModuleReporter.report_daily_ration_per_pen.ration_daily_feed_totals_for_pen_0_CALF.202 (kg)</t>
  </si>
  <si>
    <t>AnimalModuleReporter.report_daily_ration_per_pen.ration_daily_feed_totals_for_pen_0_CALF.216 (kg)</t>
  </si>
  <si>
    <t>AnimalModuleReporter.report_daily_ration_per_pen.ration_daily_feed_totals_for_pen_0_CALF.byproducts_total (kg)</t>
  </si>
  <si>
    <t>AnimalModuleReporter.report_daily_ration_per_pen.ration_daily_feed_totals_for_pen_0_CALF.dry_matter_intake_total (kg)</t>
  </si>
  <si>
    <t>AnimalModuleReporter.report_daily_ration_per_pen.ration_daily_feed_totals_for_pen_1_GROWING.104 (kg)</t>
  </si>
  <si>
    <t>AnimalModuleReporter.report_daily_ration_per_pen.ration_daily_feed_totals_for_pen_1_GROWING.110 (kg)</t>
  </si>
  <si>
    <t>AnimalModuleReporter.report_daily_ration_per_pen.ration_daily_feed_totals_for_pen_1_GROWING.301 (kg)</t>
  </si>
  <si>
    <t>AnimalModuleReporter.report_daily_ration_per_pen.ration_daily_feed_totals_for_pen_1_GROWING.302 (kg)</t>
  </si>
  <si>
    <t>AnimalModuleReporter.report_daily_ration_per_pen.ration_daily_feed_totals_for_pen_1_GROWING.44 (kg)</t>
  </si>
  <si>
    <t>AnimalModuleReporter.report_daily_ration_per_pen.ration_daily_feed_totals_for_pen_1_GROWING.50 (kg)</t>
  </si>
  <si>
    <t>AnimalModuleReporter.report_daily_ration_per_pen.ration_daily_feed_totals_for_pen_1_GROWING.95 (kg)</t>
  </si>
  <si>
    <t>AnimalModuleReporter.report_daily_ration_per_pen.ration_daily_feed_totals_for_pen_1_GROWING.byproducts_total (kg)</t>
  </si>
  <si>
    <t>AnimalModuleReporter.report_daily_ration_per_pen.ration_daily_feed_totals_for_pen_1_GROWING.dry_matter_intake_total (kg)</t>
  </si>
  <si>
    <t>AnimalModuleReporter.report_daily_ration_per_pen.ration_daily_feed_totals_for_pen_2_CLOSE_UP.104 (kg)</t>
  </si>
  <si>
    <t>AnimalModuleReporter.report_daily_ration_per_pen.ration_daily_feed_totals_for_pen_2_CLOSE_UP.110 (kg)</t>
  </si>
  <si>
    <t>AnimalModuleReporter.report_daily_ration_per_pen.ration_daily_feed_totals_for_pen_2_CLOSE_UP.301 (kg)</t>
  </si>
  <si>
    <t>AnimalModuleReporter.report_daily_ration_per_pen.ration_daily_feed_totals_for_pen_2_CLOSE_UP.302 (kg)</t>
  </si>
  <si>
    <t>AnimalModuleReporter.report_daily_ration_per_pen.ration_daily_feed_totals_for_pen_2_CLOSE_UP.44 (kg)</t>
  </si>
  <si>
    <t>AnimalModuleReporter.report_daily_ration_per_pen.ration_daily_feed_totals_for_pen_2_CLOSE_UP.50 (kg)</t>
  </si>
  <si>
    <t>AnimalModuleReporter.report_daily_ration_per_pen.ration_daily_feed_totals_for_pen_2_CLOSE_UP.95 (kg)</t>
  </si>
  <si>
    <t>AnimalModuleReporter.report_daily_ration_per_pen.ration_daily_feed_totals_for_pen_2_CLOSE_UP.byproducts_total (kg)</t>
  </si>
  <si>
    <t>AnimalModuleReporter.report_daily_ration_per_pen.ration_daily_feed_totals_for_pen_2_CLOSE_UP.dry_matter_intake_total (kg)</t>
  </si>
  <si>
    <t>Run 1</t>
  </si>
  <si>
    <t>Run 2</t>
  </si>
  <si>
    <t>Run 3</t>
  </si>
  <si>
    <t>Run 4</t>
  </si>
  <si>
    <t>RationOptimizer.handle_failed_constraints.failed_constraint_summary_for_pen_3.attempt number (unitless)</t>
  </si>
  <si>
    <t>RationOptimizer.handle_failed_constraints.failed_constraint_summary_for_pen_3.initial_dry_matter_requirement (kg)</t>
  </si>
  <si>
    <t>RationOptimizer.handle_failed_constraints.failed_constraint_summary_for_pen_3.initial_protein_requirement (g)</t>
  </si>
  <si>
    <t>milk yield per cow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</si>
</sst>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workbookViewId="0"/>
  </sheetViews>
  <sheetFormatPr baseColWidth="10" defaultColWidth="8.83203125" defaultRowHeight="15" x14ac:dyDescent="0.2"/>
  <cols>
    <col min="1" max="1" width="60" customWidth="1"/>
    <col min="2" max="2" width="20" customWidth="1"/>
    <col min="3" max="4" width="21" customWidth="1"/>
    <col min="5" max="6" width="20" customWidth="1"/>
    <col min="7" max="9" width="21" customWidth="1"/>
    <col min="10" max="10" width="20" customWidth="1"/>
    <col min="11" max="11" width="23" customWidth="1"/>
    <col min="12" max="12" width="20" customWidth="1"/>
    <col min="13" max="13" width="23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>
        <v>0.34581462280041109</v>
      </c>
      <c r="C2">
        <v>0.3459199636426859</v>
      </c>
      <c r="D2">
        <v>0.35400701612289059</v>
      </c>
      <c r="E2">
        <v>0.35161361777697442</v>
      </c>
      <c r="F2">
        <v>0.351687069719265</v>
      </c>
      <c r="G2">
        <v>0.34130955492023768</v>
      </c>
      <c r="H2">
        <v>0.34636459547596748</v>
      </c>
      <c r="I2">
        <v>0.33050341636559122</v>
      </c>
      <c r="J2">
        <v>0.34946832602963351</v>
      </c>
      <c r="K2">
        <v>3.4822845216861569E-3</v>
      </c>
      <c r="L2">
        <v>0.34233663817637228</v>
      </c>
      <c r="M2">
        <v>7.7456860629917176E-3</v>
      </c>
    </row>
    <row r="3" spans="1:13" x14ac:dyDescent="0.2">
      <c r="A3" s="1" t="s">
        <v>14</v>
      </c>
      <c r="B3">
        <v>0.48791058543893517</v>
      </c>
      <c r="C3">
        <v>0.34777963177631799</v>
      </c>
      <c r="D3">
        <v>0.48778300051142298</v>
      </c>
      <c r="E3">
        <v>0.34639604502925259</v>
      </c>
      <c r="F3">
        <v>0.48572169782349273</v>
      </c>
      <c r="G3">
        <v>0.34337738624038872</v>
      </c>
      <c r="H3">
        <v>0.48687674553382032</v>
      </c>
      <c r="I3">
        <v>0.34043628434248852</v>
      </c>
      <c r="J3">
        <v>0.48707300732691777</v>
      </c>
      <c r="K3">
        <v>8.7609695257591998E-4</v>
      </c>
      <c r="L3">
        <v>0.34449733684711198</v>
      </c>
      <c r="M3">
        <v>2.8339455521422911E-3</v>
      </c>
    </row>
    <row r="4" spans="1:13" x14ac:dyDescent="0.2">
      <c r="A4" s="1" t="s">
        <v>15</v>
      </c>
      <c r="B4">
        <v>0.56036536746962351</v>
      </c>
      <c r="C4">
        <v>0.55524265542149032</v>
      </c>
      <c r="D4">
        <v>0.57268272464007686</v>
      </c>
      <c r="E4">
        <v>0.56397738046530366</v>
      </c>
      <c r="F4">
        <v>0.57019021077981835</v>
      </c>
      <c r="G4">
        <v>0.54663168022947384</v>
      </c>
      <c r="H4">
        <v>0.56219343315024084</v>
      </c>
      <c r="I4">
        <v>0.52960720273286543</v>
      </c>
      <c r="J4">
        <v>0.56635793400993983</v>
      </c>
      <c r="K4">
        <v>5.1947868798097006E-3</v>
      </c>
      <c r="L4">
        <v>0.54886472971228328</v>
      </c>
      <c r="M4">
        <v>1.269752933143504E-2</v>
      </c>
    </row>
    <row r="5" spans="1:13" x14ac:dyDescent="0.2">
      <c r="A5" s="1" t="s">
        <v>16</v>
      </c>
      <c r="B5">
        <v>0.77935458454837248</v>
      </c>
      <c r="C5">
        <v>0.54595439692917858</v>
      </c>
      <c r="D5">
        <v>0.7783328422109409</v>
      </c>
      <c r="E5">
        <v>0.54474141838741674</v>
      </c>
      <c r="F5">
        <v>0.77512991030488976</v>
      </c>
      <c r="G5">
        <v>0.53868586988355649</v>
      </c>
      <c r="H5">
        <v>0.77666244414709162</v>
      </c>
      <c r="I5">
        <v>0.5339567806105312</v>
      </c>
      <c r="J5">
        <v>0.77736994530282366</v>
      </c>
      <c r="K5">
        <v>1.6112322976502499E-3</v>
      </c>
      <c r="L5">
        <v>0.54083461645267072</v>
      </c>
      <c r="M5">
        <v>4.8321059377528517E-3</v>
      </c>
    </row>
    <row r="6" spans="1:13" x14ac:dyDescent="0.2">
      <c r="A6" s="1" t="s">
        <v>17</v>
      </c>
      <c r="B6">
        <v>11.377133638121251</v>
      </c>
      <c r="C6">
        <v>11.298888543071291</v>
      </c>
      <c r="D6">
        <v>11.645718269304361</v>
      </c>
      <c r="E6">
        <v>11.48458976963596</v>
      </c>
      <c r="F6">
        <v>11.571956767253599</v>
      </c>
      <c r="G6">
        <v>11.142309645738131</v>
      </c>
      <c r="H6">
        <v>11.406653670473959</v>
      </c>
      <c r="I6">
        <v>10.791051213258889</v>
      </c>
      <c r="J6">
        <v>11.500365586288289</v>
      </c>
      <c r="K6">
        <v>0.1120499172987362</v>
      </c>
      <c r="L6">
        <v>11.17920979292607</v>
      </c>
      <c r="M6">
        <v>0.25475902204013889</v>
      </c>
    </row>
    <row r="7" spans="1:13" x14ac:dyDescent="0.2">
      <c r="A7" s="1" t="s">
        <v>18</v>
      </c>
      <c r="B7">
        <v>26.405392208450429</v>
      </c>
      <c r="C7">
        <v>18.610409485559639</v>
      </c>
      <c r="D7">
        <v>26.386021419928198</v>
      </c>
      <c r="E7">
        <v>18.54367572608226</v>
      </c>
      <c r="F7">
        <v>26.265014380963049</v>
      </c>
      <c r="G7">
        <v>18.373873564375369</v>
      </c>
      <c r="H7">
        <v>26.333014850380561</v>
      </c>
      <c r="I7">
        <v>18.21763955913989</v>
      </c>
      <c r="J7">
        <v>26.347360714930559</v>
      </c>
      <c r="K7">
        <v>5.4426617795515497E-2</v>
      </c>
      <c r="L7">
        <v>18.436399583789289</v>
      </c>
      <c r="M7">
        <v>0.1529322301770821</v>
      </c>
    </row>
    <row r="8" spans="1:13" x14ac:dyDescent="0.2">
      <c r="A8" s="1" t="s">
        <v>19</v>
      </c>
      <c r="B8">
        <v>3.029810078997992</v>
      </c>
      <c r="C8">
        <v>3.0519498767102839</v>
      </c>
      <c r="D8">
        <v>3.1115326559331491</v>
      </c>
      <c r="E8">
        <v>3.1111784496796919</v>
      </c>
      <c r="F8">
        <v>3.0748368169084639</v>
      </c>
      <c r="G8">
        <v>3.037887819136698</v>
      </c>
      <c r="H8">
        <v>3.0218057608587841</v>
      </c>
      <c r="I8">
        <v>2.9351872827902512</v>
      </c>
      <c r="J8">
        <v>3.059496328174597</v>
      </c>
      <c r="K8">
        <v>3.6211055825371402E-2</v>
      </c>
      <c r="L8">
        <v>3.0340508570792308</v>
      </c>
      <c r="M8">
        <v>6.3359626425506008E-2</v>
      </c>
    </row>
    <row r="9" spans="1:13" x14ac:dyDescent="0.2">
      <c r="A9" s="1" t="s">
        <v>20</v>
      </c>
      <c r="B9">
        <v>6.7758560696909989</v>
      </c>
      <c r="C9">
        <v>4.8833100158568126</v>
      </c>
      <c r="D9">
        <v>6.7828007029903539</v>
      </c>
      <c r="E9">
        <v>4.8364532731841887</v>
      </c>
      <c r="F9">
        <v>6.7392629990327277</v>
      </c>
      <c r="G9">
        <v>4.8357234730282528</v>
      </c>
      <c r="H9">
        <v>6.772490712568441</v>
      </c>
      <c r="I9">
        <v>4.7985118483337867</v>
      </c>
      <c r="J9">
        <v>6.7676026210706306</v>
      </c>
      <c r="K9">
        <v>1.67789207333922E-2</v>
      </c>
      <c r="L9">
        <v>4.8384996526007598</v>
      </c>
      <c r="M9">
        <v>3.007859698759487E-2</v>
      </c>
    </row>
    <row r="10" spans="1:13" x14ac:dyDescent="0.2">
      <c r="A10" s="1" t="s">
        <v>21</v>
      </c>
      <c r="B10">
        <v>10.54821991144807</v>
      </c>
      <c r="C10">
        <v>10.201661695305029</v>
      </c>
      <c r="D10">
        <v>10.733756984609281</v>
      </c>
      <c r="E10">
        <v>10.37152215859606</v>
      </c>
      <c r="F10">
        <v>10.669615230039019</v>
      </c>
      <c r="G10">
        <v>10.09168763866723</v>
      </c>
      <c r="H10">
        <v>10.494924371360151</v>
      </c>
      <c r="I10">
        <v>9.7390704048417298</v>
      </c>
      <c r="J10">
        <v>10.61162912436413</v>
      </c>
      <c r="K10">
        <v>9.4760659500332328E-2</v>
      </c>
      <c r="L10">
        <v>10.10098547435252</v>
      </c>
      <c r="M10">
        <v>0.2315139122570182</v>
      </c>
    </row>
    <row r="11" spans="1:13" x14ac:dyDescent="0.2">
      <c r="A11" s="1" t="s">
        <v>22</v>
      </c>
      <c r="B11">
        <v>19.967972359659228</v>
      </c>
      <c r="C11">
        <v>13.669193008640599</v>
      </c>
      <c r="D11">
        <v>19.996063270641081</v>
      </c>
      <c r="E11">
        <v>13.526901194166291</v>
      </c>
      <c r="F11">
        <v>19.912016497389661</v>
      </c>
      <c r="G11">
        <v>13.536498880872671</v>
      </c>
      <c r="H11">
        <v>19.979680301586029</v>
      </c>
      <c r="I11">
        <v>13.42351673850032</v>
      </c>
      <c r="J11">
        <v>19.963933107319001</v>
      </c>
      <c r="K11">
        <v>3.1591025103697053E-2</v>
      </c>
      <c r="L11">
        <v>13.53902745554497</v>
      </c>
      <c r="M11">
        <v>8.7234220449544791E-2</v>
      </c>
    </row>
    <row r="12" spans="1:13" x14ac:dyDescent="0.2">
      <c r="A12" s="1" t="s">
        <v>23</v>
      </c>
      <c r="B12">
        <v>17.039432164646879</v>
      </c>
      <c r="C12">
        <v>16.479607353954279</v>
      </c>
      <c r="D12">
        <v>17.339145898214991</v>
      </c>
      <c r="E12">
        <v>16.753997333116718</v>
      </c>
      <c r="F12">
        <v>17.235532294678411</v>
      </c>
      <c r="G12">
        <v>16.301956954770141</v>
      </c>
      <c r="H12">
        <v>16.95333936912024</v>
      </c>
      <c r="I12">
        <v>15.732344500128949</v>
      </c>
      <c r="J12">
        <v>17.141862431665128</v>
      </c>
      <c r="K12">
        <v>0.15307491150053801</v>
      </c>
      <c r="L12">
        <v>16.316976535492518</v>
      </c>
      <c r="M12">
        <v>0.37398401210749022</v>
      </c>
    </row>
    <row r="13" spans="1:13" x14ac:dyDescent="0.2">
      <c r="A13" s="1" t="s">
        <v>24</v>
      </c>
      <c r="B13">
        <v>32.255955350218748</v>
      </c>
      <c r="C13">
        <v>22.08100409088097</v>
      </c>
      <c r="D13">
        <v>32.301332975650958</v>
      </c>
      <c r="E13">
        <v>21.851148082884009</v>
      </c>
      <c r="F13">
        <v>32.165565111167908</v>
      </c>
      <c r="G13">
        <v>21.866652038332781</v>
      </c>
      <c r="H13">
        <v>32.274868179485118</v>
      </c>
      <c r="I13">
        <v>21.684142423731281</v>
      </c>
      <c r="J13">
        <v>32.249430404130678</v>
      </c>
      <c r="K13">
        <v>5.1031655936744191E-2</v>
      </c>
      <c r="L13">
        <v>21.870736658957259</v>
      </c>
      <c r="M13">
        <v>0.1409168176492667</v>
      </c>
    </row>
    <row r="14" spans="1:13" x14ac:dyDescent="0.2">
      <c r="A14" s="1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s="1" t="s">
        <v>26</v>
      </c>
      <c r="B15">
        <v>5451.665594664235</v>
      </c>
      <c r="C15">
        <v>4245.5377738093885</v>
      </c>
      <c r="D15">
        <v>5492.4408349673458</v>
      </c>
      <c r="E15">
        <v>4286.4598699445833</v>
      </c>
      <c r="F15">
        <v>5457.2144365468639</v>
      </c>
      <c r="G15">
        <v>4324.0068124452873</v>
      </c>
      <c r="H15">
        <v>5422.4058991859438</v>
      </c>
      <c r="I15">
        <v>4308.9464156767644</v>
      </c>
      <c r="J15">
        <v>5455.9316913410967</v>
      </c>
      <c r="K15">
        <v>24.883434871776899</v>
      </c>
      <c r="L15">
        <v>4291.2377179690056</v>
      </c>
      <c r="M15">
        <v>29.57500741858281</v>
      </c>
    </row>
    <row r="16" spans="1:13" x14ac:dyDescent="0.2">
      <c r="A16" s="1" t="s">
        <v>27</v>
      </c>
      <c r="B16">
        <v>55.554899179645098</v>
      </c>
      <c r="C16">
        <v>95.279697964572563</v>
      </c>
      <c r="D16">
        <v>55.659914428546017</v>
      </c>
      <c r="E16">
        <v>95.177295182167214</v>
      </c>
      <c r="F16">
        <v>54.993134991951678</v>
      </c>
      <c r="G16">
        <v>95.290340350802339</v>
      </c>
      <c r="H16">
        <v>56.164958593444091</v>
      </c>
      <c r="I16">
        <v>95.100032055356621</v>
      </c>
      <c r="J16">
        <v>55.593226798396721</v>
      </c>
      <c r="K16">
        <v>0.41620417705876728</v>
      </c>
      <c r="L16">
        <v>95.211841388224684</v>
      </c>
      <c r="M16">
        <v>7.8200654327169813E-2</v>
      </c>
    </row>
    <row r="17" spans="1:13" x14ac:dyDescent="0.2">
      <c r="A17" s="1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s="1" t="s">
        <v>29</v>
      </c>
      <c r="B18">
        <v>138.0078520122126</v>
      </c>
      <c r="C18">
        <v>138.80287598595399</v>
      </c>
      <c r="D18">
        <v>141.57280490130361</v>
      </c>
      <c r="E18">
        <v>141.46457259747879</v>
      </c>
      <c r="F18">
        <v>139.9429450293253</v>
      </c>
      <c r="G18">
        <v>138.1590074513951</v>
      </c>
      <c r="H18">
        <v>137.66686382149581</v>
      </c>
      <c r="I18">
        <v>133.62457357930961</v>
      </c>
      <c r="J18">
        <v>139.2976164410843</v>
      </c>
      <c r="K18">
        <v>1.5744664099778241</v>
      </c>
      <c r="L18">
        <v>138.01275740353441</v>
      </c>
      <c r="M18">
        <v>2.8203218725492212</v>
      </c>
    </row>
    <row r="19" spans="1:13" x14ac:dyDescent="0.2">
      <c r="A19" s="1" t="s">
        <v>30</v>
      </c>
      <c r="B19">
        <v>35.130689567758672</v>
      </c>
      <c r="C19">
        <v>60.587984329874608</v>
      </c>
      <c r="D19">
        <v>35.337479794677272</v>
      </c>
      <c r="E19">
        <v>60.667532928704539</v>
      </c>
      <c r="F19">
        <v>35.092189562498817</v>
      </c>
      <c r="G19">
        <v>60.539397288057003</v>
      </c>
      <c r="H19">
        <v>35.025955037685627</v>
      </c>
      <c r="I19">
        <v>60.166761681623669</v>
      </c>
      <c r="J19">
        <v>35.146578490655102</v>
      </c>
      <c r="K19">
        <v>0.1164086966901977</v>
      </c>
      <c r="L19">
        <v>60.490419057064948</v>
      </c>
      <c r="M19">
        <v>0.1923806576648471</v>
      </c>
    </row>
    <row r="20" spans="1:13" x14ac:dyDescent="0.2">
      <c r="A20" s="1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A21" s="1" t="s">
        <v>32</v>
      </c>
      <c r="B21">
        <v>111.6709370574146</v>
      </c>
      <c r="C21">
        <v>61.707472075527789</v>
      </c>
      <c r="D21">
        <v>110.9481168291596</v>
      </c>
      <c r="E21">
        <v>62.525817075657223</v>
      </c>
      <c r="F21">
        <v>111.09875913180549</v>
      </c>
      <c r="G21">
        <v>60.807301226557414</v>
      </c>
      <c r="H21">
        <v>110.5117828390249</v>
      </c>
      <c r="I21">
        <v>60.452063020968531</v>
      </c>
      <c r="J21">
        <v>111.05739896435119</v>
      </c>
      <c r="K21">
        <v>0.41466227112550652</v>
      </c>
      <c r="L21">
        <v>61.373163349677732</v>
      </c>
      <c r="M21">
        <v>0.80761975801182517</v>
      </c>
    </row>
    <row r="22" spans="1:13" x14ac:dyDescent="0.2">
      <c r="A22" s="1" t="s">
        <v>33</v>
      </c>
      <c r="B22">
        <v>35.581263873245163</v>
      </c>
      <c r="C22">
        <v>55.534007088273931</v>
      </c>
      <c r="D22">
        <v>35.470336785077023</v>
      </c>
      <c r="E22">
        <v>55.474321970234172</v>
      </c>
      <c r="F22">
        <v>35.501441210063348</v>
      </c>
      <c r="G22">
        <v>55.540211020515493</v>
      </c>
      <c r="H22">
        <v>35.36601417055001</v>
      </c>
      <c r="I22">
        <v>55.429290504834739</v>
      </c>
      <c r="J22">
        <v>35.479764009733877</v>
      </c>
      <c r="K22">
        <v>7.7136278407146458E-2</v>
      </c>
      <c r="L22">
        <v>55.494457645964587</v>
      </c>
      <c r="M22">
        <v>4.5578864043361339E-2</v>
      </c>
    </row>
    <row r="23" spans="1:13" x14ac:dyDescent="0.2">
      <c r="A23" s="1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s="1" t="s">
        <v>35</v>
      </c>
      <c r="B24">
        <v>202.32912421891541</v>
      </c>
      <c r="C24">
        <v>203.42257599620669</v>
      </c>
      <c r="D24">
        <v>207.44755622722201</v>
      </c>
      <c r="E24">
        <v>207.31531584138901</v>
      </c>
      <c r="F24">
        <v>205.07231877599301</v>
      </c>
      <c r="G24">
        <v>202.52756638380021</v>
      </c>
      <c r="H24">
        <v>201.819426980484</v>
      </c>
      <c r="I24">
        <v>195.96532046966249</v>
      </c>
      <c r="J24">
        <v>204.16710655065361</v>
      </c>
      <c r="K24">
        <v>2.262218914549107</v>
      </c>
      <c r="L24">
        <v>202.3076946727646</v>
      </c>
      <c r="M24">
        <v>4.0802354170839168</v>
      </c>
    </row>
    <row r="25" spans="1:13" x14ac:dyDescent="0.2">
      <c r="A25" s="1" t="s">
        <v>36</v>
      </c>
      <c r="B25">
        <v>5970.4940174033954</v>
      </c>
      <c r="C25">
        <v>4649.5804702324622</v>
      </c>
      <c r="D25">
        <v>6015.1497880225952</v>
      </c>
      <c r="E25">
        <v>4694.3970727757169</v>
      </c>
      <c r="F25">
        <v>5976.5709358585882</v>
      </c>
      <c r="G25">
        <v>4735.517312394164</v>
      </c>
      <c r="H25">
        <v>5938.4497120859214</v>
      </c>
      <c r="I25">
        <v>4719.0236358755246</v>
      </c>
      <c r="J25">
        <v>5975.1661133426242</v>
      </c>
      <c r="K25">
        <v>27.25156128061176</v>
      </c>
      <c r="L25">
        <v>4699.6296228194669</v>
      </c>
      <c r="M25">
        <v>32.389625113861669</v>
      </c>
    </row>
    <row r="26" spans="1:13" x14ac:dyDescent="0.2">
      <c r="A26" s="1" t="s">
        <v>37</v>
      </c>
      <c r="B26">
        <v>554.79990811601556</v>
      </c>
      <c r="C26">
        <v>951.51226006426623</v>
      </c>
      <c r="D26">
        <v>555.84864461453049</v>
      </c>
      <c r="E26">
        <v>950.48961300508279</v>
      </c>
      <c r="F26">
        <v>549.18984087950844</v>
      </c>
      <c r="G26">
        <v>951.61854042818766</v>
      </c>
      <c r="H26">
        <v>560.89227641690161</v>
      </c>
      <c r="I26">
        <v>949.71802352713826</v>
      </c>
      <c r="J26">
        <v>555.18266750673899</v>
      </c>
      <c r="K26">
        <v>4.1564298126619788</v>
      </c>
      <c r="L26">
        <v>950.83460925616873</v>
      </c>
      <c r="M26">
        <v>0.78095211180264268</v>
      </c>
    </row>
    <row r="27" spans="1:13" x14ac:dyDescent="0.2">
      <c r="A27" s="1" t="s">
        <v>38</v>
      </c>
      <c r="B27">
        <v>77.112053388090345</v>
      </c>
      <c r="C27">
        <v>77.317895277207384</v>
      </c>
      <c r="D27">
        <v>80.043606164383561</v>
      </c>
      <c r="E27">
        <v>78.199835728952763</v>
      </c>
      <c r="F27">
        <v>77.932073921971252</v>
      </c>
      <c r="G27">
        <v>78.019096509240242</v>
      </c>
      <c r="H27">
        <v>76.606652977412722</v>
      </c>
      <c r="I27">
        <v>73.949117043121149</v>
      </c>
      <c r="J27">
        <v>77.923596612964474</v>
      </c>
      <c r="K27">
        <v>1.3121980898415759</v>
      </c>
      <c r="L27">
        <v>76.871486139630377</v>
      </c>
      <c r="M27">
        <v>1.7190872902672401</v>
      </c>
    </row>
    <row r="28" spans="1:13" x14ac:dyDescent="0.2">
      <c r="A28" s="1" t="s">
        <v>39</v>
      </c>
      <c r="B28">
        <v>721.80980602909665</v>
      </c>
      <c r="C28">
        <v>725.96794697475787</v>
      </c>
      <c r="D28">
        <v>740.45525203712498</v>
      </c>
      <c r="E28">
        <v>739.88917454884574</v>
      </c>
      <c r="F28">
        <v>731.93074548989466</v>
      </c>
      <c r="G28">
        <v>722.6003804539987</v>
      </c>
      <c r="H28">
        <v>720.02636678117801</v>
      </c>
      <c r="I28">
        <v>698.88434701140761</v>
      </c>
      <c r="J28">
        <v>728.55554258432358</v>
      </c>
      <c r="K28">
        <v>8.2347872053313438</v>
      </c>
      <c r="L28">
        <v>721.83546224725239</v>
      </c>
      <c r="M28">
        <v>14.750870722806569</v>
      </c>
    </row>
    <row r="29" spans="1:13" x14ac:dyDescent="0.2">
      <c r="A29" s="1" t="s">
        <v>40</v>
      </c>
      <c r="B29">
        <v>321.91717823656251</v>
      </c>
      <c r="C29">
        <v>555.19300049306355</v>
      </c>
      <c r="D29">
        <v>323.81208343642032</v>
      </c>
      <c r="E29">
        <v>555.92193752171522</v>
      </c>
      <c r="F29">
        <v>321.56438661169449</v>
      </c>
      <c r="G29">
        <v>554.74777714011407</v>
      </c>
      <c r="H29">
        <v>320.957452002894</v>
      </c>
      <c r="I29">
        <v>551.33316147473931</v>
      </c>
      <c r="J29">
        <v>322.06277507189282</v>
      </c>
      <c r="K29">
        <v>1.0667014972315201</v>
      </c>
      <c r="L29">
        <v>554.29896915740801</v>
      </c>
      <c r="M29">
        <v>1.762864299697612</v>
      </c>
    </row>
    <row r="30" spans="1:13" x14ac:dyDescent="0.2">
      <c r="A30" s="1" t="s">
        <v>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A31" s="1" t="s">
        <v>42</v>
      </c>
      <c r="B31">
        <v>1002.993131429398</v>
      </c>
      <c r="C31">
        <v>554.23704932111798</v>
      </c>
      <c r="D31">
        <v>996.50098814394084</v>
      </c>
      <c r="E31">
        <v>561.58716597543958</v>
      </c>
      <c r="F31">
        <v>997.85400978804944</v>
      </c>
      <c r="G31">
        <v>546.15199870346203</v>
      </c>
      <c r="H31">
        <v>992.58197388072881</v>
      </c>
      <c r="I31">
        <v>542.96136119637492</v>
      </c>
      <c r="J31">
        <v>997.4825258105293</v>
      </c>
      <c r="K31">
        <v>3.724365719148218</v>
      </c>
      <c r="L31">
        <v>551.23439379909871</v>
      </c>
      <c r="M31">
        <v>7.253785912766741</v>
      </c>
    </row>
    <row r="32" spans="1:13" x14ac:dyDescent="0.2">
      <c r="A32" s="1" t="s">
        <v>43</v>
      </c>
      <c r="B32">
        <v>1129.2052094905021</v>
      </c>
      <c r="C32">
        <v>1762.4244695567079</v>
      </c>
      <c r="D32">
        <v>1125.6848329721381</v>
      </c>
      <c r="E32">
        <v>1760.530305637752</v>
      </c>
      <c r="F32">
        <v>1126.6719614467729</v>
      </c>
      <c r="G32">
        <v>1762.6213572398281</v>
      </c>
      <c r="H32">
        <v>1122.374055698705</v>
      </c>
      <c r="I32">
        <v>1759.1011893055961</v>
      </c>
      <c r="J32">
        <v>1125.984014902029</v>
      </c>
      <c r="K32">
        <v>2.4479930709700199</v>
      </c>
      <c r="L32">
        <v>1761.169330434971</v>
      </c>
      <c r="M32">
        <v>1.44648854812372</v>
      </c>
    </row>
    <row r="33" spans="1:13" x14ac:dyDescent="0.2">
      <c r="A33" s="1" t="s">
        <v>44</v>
      </c>
      <c r="B33">
        <v>202.32912421891541</v>
      </c>
      <c r="C33">
        <v>203.42257599620669</v>
      </c>
      <c r="D33">
        <v>207.44755622722201</v>
      </c>
      <c r="E33">
        <v>207.31531584138901</v>
      </c>
      <c r="F33">
        <v>205.07231877599301</v>
      </c>
      <c r="G33">
        <v>202.52756638380021</v>
      </c>
      <c r="H33">
        <v>201.819426980484</v>
      </c>
      <c r="I33">
        <v>195.96532046966249</v>
      </c>
      <c r="J33">
        <v>204.16710655065361</v>
      </c>
      <c r="K33">
        <v>2.262218914549107</v>
      </c>
      <c r="L33">
        <v>202.3076946727646</v>
      </c>
      <c r="M33">
        <v>4.0802354170839168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60" customWidth="1"/>
    <col min="2" max="8" width="21" customWidth="1"/>
    <col min="9" max="9" width="20" customWidth="1"/>
    <col min="10" max="10" width="21" customWidth="1"/>
    <col min="11" max="11" width="24" customWidth="1"/>
    <col min="12" max="12" width="20" customWidth="1"/>
    <col min="13" max="13" width="24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45</v>
      </c>
      <c r="B2">
        <v>2812.7552526440791</v>
      </c>
      <c r="C2">
        <v>1936.3873398877481</v>
      </c>
      <c r="D2">
        <v>2806.3834217720741</v>
      </c>
      <c r="E2">
        <v>1944.020230028063</v>
      </c>
      <c r="F2">
        <v>2794.928867018481</v>
      </c>
      <c r="G2">
        <v>2001.1101675154</v>
      </c>
      <c r="H2">
        <v>2793.826934312799</v>
      </c>
      <c r="I2">
        <v>2032.156694657084</v>
      </c>
      <c r="J2">
        <v>2801.9736189368582</v>
      </c>
      <c r="K2">
        <v>7.9323229005997931</v>
      </c>
      <c r="L2">
        <v>1978.4186080220741</v>
      </c>
      <c r="M2">
        <v>39.851489109660228</v>
      </c>
    </row>
    <row r="3" spans="1:13" x14ac:dyDescent="0.2">
      <c r="A3" s="1" t="s">
        <v>46</v>
      </c>
      <c r="B3">
        <v>539.05743137576997</v>
      </c>
      <c r="C3">
        <v>924.46738492128679</v>
      </c>
      <c r="D3">
        <v>540.05190856741956</v>
      </c>
      <c r="E3">
        <v>923.50450539493488</v>
      </c>
      <c r="F3">
        <v>533.58585425530464</v>
      </c>
      <c r="G3">
        <v>924.57351845448318</v>
      </c>
      <c r="H3">
        <v>544.97679365913757</v>
      </c>
      <c r="I3">
        <v>922.74033115468842</v>
      </c>
      <c r="J3">
        <v>539.41799696440796</v>
      </c>
      <c r="K3">
        <v>4.0449338912034909</v>
      </c>
      <c r="L3">
        <v>923.82143498134838</v>
      </c>
      <c r="M3">
        <v>0.75035170457459177</v>
      </c>
    </row>
    <row r="4" spans="1:13" x14ac:dyDescent="0.2">
      <c r="A4" s="1" t="s">
        <v>47</v>
      </c>
      <c r="B4">
        <v>689.38977627583847</v>
      </c>
      <c r="C4">
        <v>685.53741294524298</v>
      </c>
      <c r="D4">
        <v>687.82809975290888</v>
      </c>
      <c r="E4">
        <v>684.82333888501023</v>
      </c>
      <c r="F4">
        <v>685.02062736071196</v>
      </c>
      <c r="G4">
        <v>685.61611241615333</v>
      </c>
      <c r="H4">
        <v>684.75055183778238</v>
      </c>
      <c r="I4">
        <v>684.25672180355923</v>
      </c>
      <c r="J4">
        <v>686.74726380681045</v>
      </c>
      <c r="K4">
        <v>1.9441714556336489</v>
      </c>
      <c r="L4">
        <v>685.05839651249153</v>
      </c>
      <c r="M4">
        <v>0.55642569118033236</v>
      </c>
    </row>
    <row r="5" spans="1:13" x14ac:dyDescent="0.2">
      <c r="A5" s="1" t="s">
        <v>48</v>
      </c>
      <c r="B5">
        <v>648.83742286242295</v>
      </c>
      <c r="C5">
        <v>1231.9510895544149</v>
      </c>
      <c r="D5">
        <v>648.3672119555099</v>
      </c>
      <c r="E5">
        <v>1230.6679083196441</v>
      </c>
      <c r="F5">
        <v>644.72530952292948</v>
      </c>
      <c r="G5">
        <v>1232.0925234373719</v>
      </c>
      <c r="H5">
        <v>646.72130810677618</v>
      </c>
      <c r="I5">
        <v>1229.649665807666</v>
      </c>
      <c r="J5">
        <v>647.1628131119096</v>
      </c>
      <c r="K5">
        <v>1.611772689217448</v>
      </c>
      <c r="L5">
        <v>1231.090296779774</v>
      </c>
      <c r="M5">
        <v>0.99990650601954689</v>
      </c>
    </row>
    <row r="6" spans="1:13" x14ac:dyDescent="0.2">
      <c r="A6" s="1" t="s">
        <v>49</v>
      </c>
      <c r="B6">
        <v>6249.6084793524988</v>
      </c>
      <c r="C6">
        <v>3979.7827995119778</v>
      </c>
      <c r="D6">
        <v>6234.8745701293637</v>
      </c>
      <c r="E6">
        <v>3981.7499565496241</v>
      </c>
      <c r="F6">
        <v>6217.7932769411364</v>
      </c>
      <c r="G6">
        <v>3932.5667904065708</v>
      </c>
      <c r="H6">
        <v>6215.3419227488021</v>
      </c>
      <c r="I6">
        <v>3906.5480248028748</v>
      </c>
      <c r="J6">
        <v>6229.4045622929507</v>
      </c>
      <c r="K6">
        <v>13.88073330870373</v>
      </c>
      <c r="L6">
        <v>3950.1618928177618</v>
      </c>
      <c r="M6">
        <v>31.964671888648962</v>
      </c>
    </row>
    <row r="7" spans="1:13" x14ac:dyDescent="0.2">
      <c r="A7" s="1" t="s">
        <v>50</v>
      </c>
      <c r="B7">
        <v>1085.852421085558</v>
      </c>
      <c r="C7">
        <v>1694.688810639288</v>
      </c>
      <c r="D7">
        <v>1082.471270516769</v>
      </c>
      <c r="E7">
        <v>1692.9237247624919</v>
      </c>
      <c r="F7">
        <v>1083.3787639808349</v>
      </c>
      <c r="G7">
        <v>1694.8833997104721</v>
      </c>
      <c r="H7">
        <v>1079.2856658507869</v>
      </c>
      <c r="I7">
        <v>1691.522924594798</v>
      </c>
      <c r="J7">
        <v>1082.7470303584871</v>
      </c>
      <c r="K7">
        <v>2.350512001822715</v>
      </c>
      <c r="L7">
        <v>1693.5047149267621</v>
      </c>
      <c r="M7">
        <v>1.3754905379629461</v>
      </c>
    </row>
    <row r="8" spans="1:13" x14ac:dyDescent="0.2">
      <c r="A8" s="1" t="s">
        <v>51</v>
      </c>
      <c r="B8">
        <v>1624.9098524613289</v>
      </c>
      <c r="C8">
        <v>2619.156195560573</v>
      </c>
      <c r="D8">
        <v>1622.5231790841899</v>
      </c>
      <c r="E8">
        <v>2616.4282301574221</v>
      </c>
      <c r="F8">
        <v>1616.964618236138</v>
      </c>
      <c r="G8">
        <v>2619.4569181649549</v>
      </c>
      <c r="H8">
        <v>1624.2624595099239</v>
      </c>
      <c r="I8">
        <v>2614.2632557494881</v>
      </c>
      <c r="J8">
        <v>1622.165027322895</v>
      </c>
      <c r="K8">
        <v>3.126732086920244</v>
      </c>
      <c r="L8">
        <v>2617.32614990811</v>
      </c>
      <c r="M8">
        <v>2.1258422425050258</v>
      </c>
    </row>
    <row r="9" spans="1:13" x14ac:dyDescent="0.2">
      <c r="A9" s="1" t="s">
        <v>52</v>
      </c>
      <c r="B9">
        <v>12025.500783596161</v>
      </c>
      <c r="C9">
        <v>10452.81483745996</v>
      </c>
      <c r="D9">
        <v>11999.976482694041</v>
      </c>
      <c r="E9">
        <v>10457.689663939769</v>
      </c>
      <c r="F9">
        <v>11959.4326990794</v>
      </c>
      <c r="G9">
        <v>10470.842511940449</v>
      </c>
      <c r="H9">
        <v>11964.903176516091</v>
      </c>
      <c r="I9">
        <v>10466.87436282067</v>
      </c>
      <c r="J9">
        <v>11987.45328547142</v>
      </c>
      <c r="K9">
        <v>26.917017191172501</v>
      </c>
      <c r="L9">
        <v>10462.055344040209</v>
      </c>
      <c r="M9">
        <v>7.1568740786837557</v>
      </c>
    </row>
    <row r="10" spans="1:13" x14ac:dyDescent="0.2">
      <c r="A10" s="1" t="s">
        <v>53</v>
      </c>
      <c r="B10">
        <v>5.9353228146093668</v>
      </c>
      <c r="C10">
        <v>4.1275486720429164</v>
      </c>
      <c r="D10">
        <v>5.9185575216062416</v>
      </c>
      <c r="E10">
        <v>4.1455321090435353</v>
      </c>
      <c r="F10">
        <v>5.8981932570353681</v>
      </c>
      <c r="G10">
        <v>4.1568330072985109</v>
      </c>
      <c r="H10">
        <v>5.90705264731137</v>
      </c>
      <c r="I10">
        <v>4.165027835286697</v>
      </c>
      <c r="J10">
        <v>5.9147815601405869</v>
      </c>
      <c r="K10">
        <v>1.388442394892137E-2</v>
      </c>
      <c r="L10">
        <v>4.1487354059179147</v>
      </c>
      <c r="M10">
        <v>1.405483196280909E-2</v>
      </c>
    </row>
    <row r="11" spans="1:13" x14ac:dyDescent="0.2">
      <c r="A11" s="1" t="s">
        <v>54</v>
      </c>
      <c r="B11">
        <v>3.7990434222761378</v>
      </c>
      <c r="C11">
        <v>3.8774664671523871</v>
      </c>
      <c r="D11">
        <v>3.790315444169265</v>
      </c>
      <c r="E11">
        <v>3.8903534454738158</v>
      </c>
      <c r="F11">
        <v>3.7735563182609591</v>
      </c>
      <c r="G11">
        <v>3.90561995964394</v>
      </c>
      <c r="H11">
        <v>3.7908319097747589</v>
      </c>
      <c r="I11">
        <v>3.910613632667594</v>
      </c>
      <c r="J11">
        <v>3.7884367736202811</v>
      </c>
      <c r="K11">
        <v>9.2627618402891729E-3</v>
      </c>
      <c r="L11">
        <v>3.8960133762344338</v>
      </c>
      <c r="M11">
        <v>1.3052553250519209E-2</v>
      </c>
    </row>
    <row r="12" spans="1:13" x14ac:dyDescent="0.2">
      <c r="A12" s="1" t="s">
        <v>55</v>
      </c>
      <c r="B12">
        <v>78.414298534142915</v>
      </c>
      <c r="C12">
        <v>70.956298214163425</v>
      </c>
      <c r="D12">
        <v>78.206503572428502</v>
      </c>
      <c r="E12">
        <v>71.18787993618362</v>
      </c>
      <c r="F12">
        <v>77.935826393245037</v>
      </c>
      <c r="G12">
        <v>71.14028535612249</v>
      </c>
      <c r="H12">
        <v>78.123397524857182</v>
      </c>
      <c r="I12">
        <v>71.066968938959235</v>
      </c>
      <c r="J12">
        <v>78.17000650616842</v>
      </c>
      <c r="K12">
        <v>0.17177263548450039</v>
      </c>
      <c r="L12">
        <v>71.087858111357193</v>
      </c>
      <c r="M12">
        <v>8.7317446006504387E-2</v>
      </c>
    </row>
    <row r="13" spans="1:13" x14ac:dyDescent="0.2">
      <c r="A13" s="1" t="s">
        <v>56</v>
      </c>
      <c r="B13">
        <v>0.96498762570799945</v>
      </c>
      <c r="C13">
        <v>0.97535386280987812</v>
      </c>
      <c r="D13">
        <v>0.96214127090506041</v>
      </c>
      <c r="E13">
        <v>0.97826903113089814</v>
      </c>
      <c r="F13">
        <v>0.95979168941559201</v>
      </c>
      <c r="G13">
        <v>0.97812419970930753</v>
      </c>
      <c r="H13">
        <v>0.96069322390399936</v>
      </c>
      <c r="I13">
        <v>0.97703207773722434</v>
      </c>
      <c r="J13">
        <v>0.96190345248316289</v>
      </c>
      <c r="K13">
        <v>1.9680497040200189E-3</v>
      </c>
      <c r="L13">
        <v>0.97719479284682698</v>
      </c>
      <c r="M13">
        <v>1.16547035728323E-3</v>
      </c>
    </row>
    <row r="14" spans="1:13" x14ac:dyDescent="0.2">
      <c r="A14" s="1" t="s">
        <v>57</v>
      </c>
      <c r="B14">
        <v>73.435369875457454</v>
      </c>
      <c r="C14">
        <v>65.248755276276569</v>
      </c>
      <c r="D14">
        <v>73.228951246798644</v>
      </c>
      <c r="E14">
        <v>65.46604189007256</v>
      </c>
      <c r="F14">
        <v>72.982551240170466</v>
      </c>
      <c r="G14">
        <v>65.377941435228493</v>
      </c>
      <c r="H14">
        <v>73.139397189119819</v>
      </c>
      <c r="I14">
        <v>65.293664484493206</v>
      </c>
      <c r="J14">
        <v>73.196567387886603</v>
      </c>
      <c r="K14">
        <v>0.16366634160568139</v>
      </c>
      <c r="L14">
        <v>65.3466007715177</v>
      </c>
      <c r="M14">
        <v>8.3102962381600809E-2</v>
      </c>
    </row>
    <row r="15" spans="1:13" x14ac:dyDescent="0.2">
      <c r="A15" s="1" t="s">
        <v>58</v>
      </c>
      <c r="B15">
        <v>0.60784694756418212</v>
      </c>
      <c r="C15">
        <v>0.62039463474438183</v>
      </c>
      <c r="D15">
        <v>0.6064504710670825</v>
      </c>
      <c r="E15">
        <v>0.62245655127581057</v>
      </c>
      <c r="F15">
        <v>0.60376901092175339</v>
      </c>
      <c r="G15">
        <v>0.62489919354303058</v>
      </c>
      <c r="H15">
        <v>0.60653310556396134</v>
      </c>
      <c r="I15">
        <v>0.6256981812268152</v>
      </c>
      <c r="J15">
        <v>0.60614988377924484</v>
      </c>
      <c r="K15">
        <v>1.4820418944463099E-3</v>
      </c>
      <c r="L15">
        <v>0.62336214019750957</v>
      </c>
      <c r="M15">
        <v>2.0884085200831431E-3</v>
      </c>
    </row>
    <row r="16" spans="1:13" x14ac:dyDescent="0.2">
      <c r="A16" s="1" t="s">
        <v>59</v>
      </c>
      <c r="B16">
        <v>9.1383099927654943</v>
      </c>
      <c r="C16">
        <v>6.4049126421400553</v>
      </c>
      <c r="D16">
        <v>9.1125378769617491</v>
      </c>
      <c r="E16">
        <v>6.4314309867896524</v>
      </c>
      <c r="F16">
        <v>9.0817547822539435</v>
      </c>
      <c r="G16">
        <v>6.4339647437107557</v>
      </c>
      <c r="H16">
        <v>9.0956286482999289</v>
      </c>
      <c r="I16">
        <v>6.4376441465426151</v>
      </c>
      <c r="J16">
        <v>9.1070578250702798</v>
      </c>
      <c r="K16">
        <v>2.10807910892611E-2</v>
      </c>
      <c r="L16">
        <v>6.4269881297957703</v>
      </c>
      <c r="M16">
        <v>1.2935319556678111E-2</v>
      </c>
    </row>
    <row r="17" spans="1:13" x14ac:dyDescent="0.2">
      <c r="A17" s="1" t="s">
        <v>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s="1" t="s">
        <v>61</v>
      </c>
      <c r="B18">
        <v>48.467344117801922</v>
      </c>
      <c r="C18">
        <v>43.064178482342527</v>
      </c>
      <c r="D18">
        <v>48.331107822887112</v>
      </c>
      <c r="E18">
        <v>43.207587647447909</v>
      </c>
      <c r="F18">
        <v>48.168483818512499</v>
      </c>
      <c r="G18">
        <v>43.149441347250807</v>
      </c>
      <c r="H18">
        <v>48.272002144819062</v>
      </c>
      <c r="I18">
        <v>43.093818559765531</v>
      </c>
      <c r="J18">
        <v>48.309734476005147</v>
      </c>
      <c r="K18">
        <v>0.10801978545975501</v>
      </c>
      <c r="L18">
        <v>43.1287565092017</v>
      </c>
      <c r="M18">
        <v>5.484795517186164E-2</v>
      </c>
    </row>
    <row r="19" spans="1:13" x14ac:dyDescent="0.2">
      <c r="A19" s="1" t="s">
        <v>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s="1" t="s">
        <v>63</v>
      </c>
      <c r="B20">
        <v>17.988696855891831</v>
      </c>
      <c r="C20">
        <v>16.24805250637348</v>
      </c>
      <c r="D20">
        <v>17.940844550532638</v>
      </c>
      <c r="E20">
        <v>16.300794301414289</v>
      </c>
      <c r="F20">
        <v>17.879377942787752</v>
      </c>
      <c r="G20">
        <v>16.28476880745103</v>
      </c>
      <c r="H20">
        <v>17.920562527251011</v>
      </c>
      <c r="I20">
        <v>16.26512381798365</v>
      </c>
      <c r="J20">
        <v>17.93237046911581</v>
      </c>
      <c r="K20">
        <v>3.9344971854145011E-2</v>
      </c>
      <c r="L20">
        <v>16.274684858305609</v>
      </c>
      <c r="M20">
        <v>1.9900280847815279E-2</v>
      </c>
    </row>
    <row r="21" spans="1:13" x14ac:dyDescent="0.2">
      <c r="A21" s="1" t="s">
        <v>64</v>
      </c>
      <c r="B21">
        <v>68.850670309973594</v>
      </c>
      <c r="C21">
        <v>56.267193680483821</v>
      </c>
      <c r="D21">
        <v>68.652629932722519</v>
      </c>
      <c r="E21">
        <v>56.462356942997211</v>
      </c>
      <c r="F21">
        <v>68.447303146549601</v>
      </c>
      <c r="G21">
        <v>56.397973373792951</v>
      </c>
      <c r="H21">
        <v>68.537743806658554</v>
      </c>
      <c r="I21">
        <v>56.341142411795524</v>
      </c>
      <c r="J21">
        <v>68.622086798976071</v>
      </c>
      <c r="K21">
        <v>0.15070365790817611</v>
      </c>
      <c r="L21">
        <v>56.367166602267368</v>
      </c>
      <c r="M21">
        <v>7.190636571220077E-2</v>
      </c>
    </row>
    <row r="22" spans="1:13" x14ac:dyDescent="0.2">
      <c r="A22" s="1" t="s">
        <v>65</v>
      </c>
      <c r="B22">
        <v>3.2280944159011651</v>
      </c>
      <c r="C22">
        <v>3.0404386234081389</v>
      </c>
      <c r="D22">
        <v>3.2190604412748569</v>
      </c>
      <c r="E22">
        <v>3.0492138794387529</v>
      </c>
      <c r="F22">
        <v>3.2070026995610021</v>
      </c>
      <c r="G22">
        <v>3.0571493667343068</v>
      </c>
      <c r="H22">
        <v>3.2119062416512421</v>
      </c>
      <c r="I22">
        <v>3.057447262408044</v>
      </c>
      <c r="J22">
        <v>3.216515949597067</v>
      </c>
      <c r="K22">
        <v>7.9417670176096019E-3</v>
      </c>
      <c r="L22">
        <v>3.0510622829973109</v>
      </c>
      <c r="M22">
        <v>6.9659760493161749E-3</v>
      </c>
    </row>
    <row r="23" spans="1:13" x14ac:dyDescent="0.2">
      <c r="A23" s="1" t="s">
        <v>66</v>
      </c>
      <c r="B23">
        <v>0.27377660880455068</v>
      </c>
      <c r="C23">
        <v>0.26428628996906128</v>
      </c>
      <c r="D23">
        <v>0.27301510376085719</v>
      </c>
      <c r="E23">
        <v>0.26491102461559179</v>
      </c>
      <c r="F23">
        <v>0.27187314275418339</v>
      </c>
      <c r="G23">
        <v>0.26525002015575522</v>
      </c>
      <c r="H23">
        <v>0.27225542067730618</v>
      </c>
      <c r="I23">
        <v>0.2649335748281636</v>
      </c>
      <c r="J23">
        <v>0.27273006899922442</v>
      </c>
      <c r="K23">
        <v>7.3077082563742892E-4</v>
      </c>
      <c r="L23">
        <v>0.264845227392143</v>
      </c>
      <c r="M23">
        <v>3.4942909454527531E-4</v>
      </c>
    </row>
    <row r="24" spans="1:13" x14ac:dyDescent="0.2">
      <c r="A24" s="1" t="s">
        <v>67</v>
      </c>
      <c r="B24">
        <v>27.824826040816351</v>
      </c>
      <c r="C24">
        <v>24.160213918367351</v>
      </c>
      <c r="D24">
        <v>27.749421408163261</v>
      </c>
      <c r="E24">
        <v>24.24140418367347</v>
      </c>
      <c r="F24">
        <v>27.653546408163251</v>
      </c>
      <c r="G24">
        <v>24.2395985510204</v>
      </c>
      <c r="H24">
        <v>27.71022328571426</v>
      </c>
      <c r="I24">
        <v>24.224557632653049</v>
      </c>
      <c r="J24">
        <v>27.73450428571428</v>
      </c>
      <c r="K24">
        <v>6.2298244127431603E-2</v>
      </c>
      <c r="L24">
        <v>24.21644357142857</v>
      </c>
      <c r="M24">
        <v>3.3116450279572732E-2</v>
      </c>
    </row>
    <row r="25" spans="1:13" x14ac:dyDescent="0.2">
      <c r="A25" s="1" t="s">
        <v>68</v>
      </c>
      <c r="B25">
        <v>964.98762570799943</v>
      </c>
      <c r="C25">
        <v>975.35386280987836</v>
      </c>
      <c r="D25">
        <v>962.14127090506042</v>
      </c>
      <c r="E25">
        <v>978.26903113089804</v>
      </c>
      <c r="F25">
        <v>959.79168941559215</v>
      </c>
      <c r="G25">
        <v>978.12419970930739</v>
      </c>
      <c r="H25">
        <v>960.69322390399952</v>
      </c>
      <c r="I25">
        <v>977.0320777372242</v>
      </c>
      <c r="J25">
        <v>961.90345248316294</v>
      </c>
      <c r="K25">
        <v>1.9680497040199481</v>
      </c>
      <c r="L25">
        <v>977.19479284682711</v>
      </c>
      <c r="M25">
        <v>1.16547035728309</v>
      </c>
    </row>
    <row r="26" spans="1:13" x14ac:dyDescent="0.2">
      <c r="A26" s="1" t="s">
        <v>69</v>
      </c>
      <c r="B26">
        <v>3.4681825035221441</v>
      </c>
      <c r="C26">
        <v>4.0371137139410829</v>
      </c>
      <c r="D26">
        <v>3.4673378198854592</v>
      </c>
      <c r="E26">
        <v>4.0356989326862074</v>
      </c>
      <c r="F26">
        <v>3.4707798745765861</v>
      </c>
      <c r="G26">
        <v>4.0352964538131619</v>
      </c>
      <c r="H26">
        <v>3.466923251572545</v>
      </c>
      <c r="I26">
        <v>4.0332641760188617</v>
      </c>
      <c r="J26">
        <v>3.4683058623891831</v>
      </c>
      <c r="K26">
        <v>1.498722178457001E-3</v>
      </c>
      <c r="L26">
        <v>4.0353433191148289</v>
      </c>
      <c r="M26">
        <v>1.377115756117104E-3</v>
      </c>
    </row>
    <row r="27" spans="1:13" x14ac:dyDescent="0.2">
      <c r="A27" s="1" t="s">
        <v>70</v>
      </c>
      <c r="B27">
        <v>8.7299817098765384</v>
      </c>
      <c r="C27">
        <v>5.6989781969963236</v>
      </c>
      <c r="D27">
        <v>8.7047426411773383</v>
      </c>
      <c r="E27">
        <v>5.724046743116121</v>
      </c>
      <c r="F27">
        <v>8.6763396183465318</v>
      </c>
      <c r="G27">
        <v>5.7266797825248892</v>
      </c>
      <c r="H27">
        <v>8.6866315541399981</v>
      </c>
      <c r="I27">
        <v>5.7319660700987756</v>
      </c>
      <c r="J27">
        <v>8.6994238808851012</v>
      </c>
      <c r="K27">
        <v>2.0362937682338961E-2</v>
      </c>
      <c r="L27">
        <v>5.7204176981840273</v>
      </c>
      <c r="M27">
        <v>1.270236958671591E-2</v>
      </c>
    </row>
    <row r="28" spans="1:13" x14ac:dyDescent="0.2">
      <c r="A28" s="1" t="s">
        <v>71</v>
      </c>
      <c r="B28">
        <v>31.374601627325109</v>
      </c>
      <c r="C28">
        <v>23.586751366818991</v>
      </c>
      <c r="D28">
        <v>31.369080508799119</v>
      </c>
      <c r="E28">
        <v>23.609880517871499</v>
      </c>
      <c r="F28">
        <v>31.375290128125691</v>
      </c>
      <c r="G28">
        <v>23.62426069929743</v>
      </c>
      <c r="H28">
        <v>31.348532745482519</v>
      </c>
      <c r="I28">
        <v>23.661231842990251</v>
      </c>
      <c r="J28">
        <v>31.366876252433109</v>
      </c>
      <c r="K28">
        <v>1.086068269914091E-2</v>
      </c>
      <c r="L28">
        <v>23.62053110674454</v>
      </c>
      <c r="M28">
        <v>2.7041475848843009E-2</v>
      </c>
    </row>
    <row r="29" spans="1:13" x14ac:dyDescent="0.2">
      <c r="A29" s="1" t="s">
        <v>72</v>
      </c>
      <c r="B29">
        <v>0.97308109098206108</v>
      </c>
      <c r="C29">
        <v>0.69783661705585676</v>
      </c>
      <c r="D29">
        <v>0.97036033741987904</v>
      </c>
      <c r="E29">
        <v>0.70108566383381643</v>
      </c>
      <c r="F29">
        <v>0.96683605594993816</v>
      </c>
      <c r="G29">
        <v>0.70640148129332736</v>
      </c>
      <c r="H29">
        <v>0.96830009143434703</v>
      </c>
      <c r="I29">
        <v>0.70970624407779659</v>
      </c>
      <c r="J29">
        <v>0.96964439394655633</v>
      </c>
      <c r="K29">
        <v>2.3461336874964168E-3</v>
      </c>
      <c r="L29">
        <v>0.70375750156519934</v>
      </c>
      <c r="M29">
        <v>4.5981995530791214E-3</v>
      </c>
    </row>
    <row r="30" spans="1:13" x14ac:dyDescent="0.2">
      <c r="A30" s="1" t="s">
        <v>73</v>
      </c>
      <c r="B30">
        <v>2472.9042765327681</v>
      </c>
      <c r="C30">
        <v>2470.556213341551</v>
      </c>
      <c r="D30">
        <v>2467.3995037333302</v>
      </c>
      <c r="E30">
        <v>2478.564953234405</v>
      </c>
      <c r="F30">
        <v>2456.077044853912</v>
      </c>
      <c r="G30">
        <v>2480.3278992529049</v>
      </c>
      <c r="H30">
        <v>2468.2657633703002</v>
      </c>
      <c r="I30">
        <v>2479.511161202076</v>
      </c>
      <c r="J30">
        <v>2466.161647122578</v>
      </c>
      <c r="K30">
        <v>6.187120664191081</v>
      </c>
      <c r="L30">
        <v>2477.2400567577338</v>
      </c>
      <c r="M30">
        <v>3.9090216217758949</v>
      </c>
    </row>
    <row r="31" spans="1:13" x14ac:dyDescent="0.2">
      <c r="A31" s="1" t="s">
        <v>74</v>
      </c>
      <c r="B31">
        <v>0.1074228335032572</v>
      </c>
      <c r="C31">
        <v>0.1202557292361021</v>
      </c>
      <c r="D31">
        <v>0.10711743701773049</v>
      </c>
      <c r="E31">
        <v>0.12056443885796329</v>
      </c>
      <c r="F31">
        <v>0.1068024593658736</v>
      </c>
      <c r="G31">
        <v>0.12064350500211431</v>
      </c>
      <c r="H31">
        <v>0.1069727008188817</v>
      </c>
      <c r="I31">
        <v>0.1204931818994367</v>
      </c>
      <c r="J31">
        <v>0.1070788576764358</v>
      </c>
      <c r="K31">
        <v>2.2774604250108601E-4</v>
      </c>
      <c r="L31">
        <v>0.1204892137489041</v>
      </c>
      <c r="M31">
        <v>1.4490977519404801E-4</v>
      </c>
    </row>
    <row r="32" spans="1:13" x14ac:dyDescent="0.2">
      <c r="A32" s="1" t="s">
        <v>75</v>
      </c>
      <c r="B32">
        <v>0.43522968445612242</v>
      </c>
      <c r="C32">
        <v>0.39416519016101997</v>
      </c>
      <c r="D32">
        <v>0.43404862717489773</v>
      </c>
      <c r="E32">
        <v>0.3956432547042858</v>
      </c>
      <c r="F32">
        <v>0.43252731681714301</v>
      </c>
      <c r="G32">
        <v>0.39785413077489762</v>
      </c>
      <c r="H32">
        <v>0.43349032440551061</v>
      </c>
      <c r="I32">
        <v>0.39889158987550999</v>
      </c>
      <c r="J32">
        <v>0.43382398821341839</v>
      </c>
      <c r="K32">
        <v>9.7713008811431412E-4</v>
      </c>
      <c r="L32">
        <v>0.3966385413789284</v>
      </c>
      <c r="M32">
        <v>1.848103549546913E-3</v>
      </c>
    </row>
    <row r="33" spans="1:13" x14ac:dyDescent="0.2">
      <c r="A33" s="1" t="s">
        <v>76</v>
      </c>
      <c r="B33">
        <v>6.0616091934667731</v>
      </c>
      <c r="C33">
        <v>5.3118602938617192</v>
      </c>
      <c r="D33">
        <v>6.0455841694444468</v>
      </c>
      <c r="E33">
        <v>5.3271181900611024</v>
      </c>
      <c r="F33">
        <v>6.0254697679151796</v>
      </c>
      <c r="G33">
        <v>5.2889204310066464</v>
      </c>
      <c r="H33">
        <v>6.036479885167469</v>
      </c>
      <c r="I33">
        <v>5.2639645413466143</v>
      </c>
      <c r="J33">
        <v>6.0422857539984678</v>
      </c>
      <c r="K33">
        <v>1.3235939314756201E-2</v>
      </c>
      <c r="L33">
        <v>5.2979658640690204</v>
      </c>
      <c r="M33">
        <v>2.3878981846866688E-2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workbookViewId="0"/>
  </sheetViews>
  <sheetFormatPr baseColWidth="10" defaultColWidth="8.83203125" defaultRowHeight="15" x14ac:dyDescent="0.2"/>
  <cols>
    <col min="1" max="1" width="60" customWidth="1"/>
    <col min="2" max="5" width="20" customWidth="1"/>
    <col min="6" max="6" width="19" customWidth="1"/>
    <col min="7" max="13" width="20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77</v>
      </c>
      <c r="B2">
        <v>692.73234077834798</v>
      </c>
      <c r="C2">
        <v>694.42060117527672</v>
      </c>
      <c r="D2">
        <v>718.89683434341589</v>
      </c>
      <c r="E2">
        <v>702.09103373028142</v>
      </c>
      <c r="F2">
        <v>699.72583754188668</v>
      </c>
      <c r="G2">
        <v>700.25989693047859</v>
      </c>
      <c r="H2">
        <v>687.83077855739441</v>
      </c>
      <c r="I2">
        <v>663.45698830597598</v>
      </c>
      <c r="J2">
        <v>699.79644780526121</v>
      </c>
      <c r="K2">
        <v>11.81004445750782</v>
      </c>
      <c r="L2">
        <v>690.05713003550318</v>
      </c>
      <c r="M2">
        <v>15.616647454455251</v>
      </c>
    </row>
    <row r="3" spans="1:13" x14ac:dyDescent="0.2">
      <c r="A3" s="1" t="s">
        <v>78</v>
      </c>
      <c r="B3">
        <v>26752.612557889261</v>
      </c>
      <c r="C3">
        <v>26186.511489844259</v>
      </c>
      <c r="D3">
        <v>26451.928996617709</v>
      </c>
      <c r="E3">
        <v>26624.030021010582</v>
      </c>
      <c r="F3">
        <v>26256.23350904019</v>
      </c>
      <c r="G3">
        <v>26517.8550825497</v>
      </c>
      <c r="H3">
        <v>26594.84110510465</v>
      </c>
      <c r="I3">
        <v>26460.389070764919</v>
      </c>
      <c r="J3">
        <v>26513.904042162951</v>
      </c>
      <c r="K3">
        <v>182.87124811461609</v>
      </c>
      <c r="L3">
        <v>26447.196416042359</v>
      </c>
      <c r="M3">
        <v>161.5498745621554</v>
      </c>
    </row>
    <row r="4" spans="1:13" x14ac:dyDescent="0.2">
      <c r="A4" s="1" t="s">
        <v>79</v>
      </c>
      <c r="B4">
        <v>77211.226230962071</v>
      </c>
      <c r="C4">
        <v>78411.430660993981</v>
      </c>
      <c r="D4">
        <v>80338.58231446569</v>
      </c>
      <c r="E4">
        <v>80001.422332952148</v>
      </c>
      <c r="F4">
        <v>79279.727735469569</v>
      </c>
      <c r="G4">
        <v>77538.927789220659</v>
      </c>
      <c r="H4">
        <v>77123.408157823156</v>
      </c>
      <c r="I4">
        <v>74107.528586723114</v>
      </c>
      <c r="J4">
        <v>78488.236109680118</v>
      </c>
      <c r="K4">
        <v>1373.294363908622</v>
      </c>
      <c r="L4">
        <v>77514.827342472476</v>
      </c>
      <c r="M4">
        <v>2156.230379616647</v>
      </c>
    </row>
    <row r="5" spans="1:13" x14ac:dyDescent="0.2">
      <c r="A5" s="1" t="s">
        <v>80</v>
      </c>
      <c r="B5">
        <v>220595.19725208401</v>
      </c>
      <c r="C5">
        <v>194641.5327122873</v>
      </c>
      <c r="D5">
        <v>220360.54358137801</v>
      </c>
      <c r="E5">
        <v>194562.4026627354</v>
      </c>
      <c r="F5">
        <v>219949.08210335599</v>
      </c>
      <c r="G5">
        <v>195311.95929666431</v>
      </c>
      <c r="H5">
        <v>219863.52375889861</v>
      </c>
      <c r="I5">
        <v>195606.54672504109</v>
      </c>
      <c r="J5">
        <v>220192.08667392921</v>
      </c>
      <c r="K5">
        <v>299.11564583802652</v>
      </c>
      <c r="L5">
        <v>195030.61034918201</v>
      </c>
      <c r="M5">
        <v>442.00107026636027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7"/>
  <sheetViews>
    <sheetView tabSelected="1" topLeftCell="A26" workbookViewId="0">
      <selection activeCell="I48" sqref="I48"/>
    </sheetView>
  </sheetViews>
  <sheetFormatPr baseColWidth="10" defaultColWidth="8.83203125" defaultRowHeight="15" x14ac:dyDescent="0.2"/>
  <cols>
    <col min="1" max="1" width="81.83203125" customWidth="1"/>
    <col min="2" max="10" width="22" customWidth="1"/>
    <col min="11" max="11" width="23" customWidth="1"/>
    <col min="12" max="12" width="22" customWidth="1"/>
    <col min="13" max="13" width="23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81</v>
      </c>
      <c r="B2">
        <v>4.8473648186173852</v>
      </c>
      <c r="C2">
        <v>4.8740588637919231</v>
      </c>
      <c r="D2">
        <v>4.8986995208761126</v>
      </c>
      <c r="E2">
        <v>4.8350444900752896</v>
      </c>
      <c r="F2">
        <v>4.8275154004106779</v>
      </c>
      <c r="G2">
        <v>4.8281998631074607</v>
      </c>
      <c r="H2">
        <v>4.8815879534565374</v>
      </c>
      <c r="I2">
        <v>4.9164955509924706</v>
      </c>
      <c r="J2">
        <v>4.8637919233401794</v>
      </c>
      <c r="K2">
        <v>2.7933290797278389E-2</v>
      </c>
      <c r="L2">
        <v>4.8634496919917858</v>
      </c>
      <c r="M2">
        <v>3.5269759056791229E-2</v>
      </c>
    </row>
    <row r="3" spans="1:13" x14ac:dyDescent="0.2">
      <c r="A3" s="1" t="s">
        <v>82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s="1" t="s">
        <v>83</v>
      </c>
      <c r="B4">
        <v>1.7508555783709789</v>
      </c>
      <c r="C4">
        <v>1.761122518822724</v>
      </c>
      <c r="D4">
        <v>1.76933607118412</v>
      </c>
      <c r="E4">
        <v>1.742642026009583</v>
      </c>
      <c r="F4">
        <v>1.7337440109514031</v>
      </c>
      <c r="G4">
        <v>1.7357973990417519</v>
      </c>
      <c r="H4">
        <v>1.7652292950034221</v>
      </c>
      <c r="I4">
        <v>1.7686516084873369</v>
      </c>
      <c r="J4">
        <v>1.7547912388774809</v>
      </c>
      <c r="K4">
        <v>1.395511008117885E-2</v>
      </c>
      <c r="L4">
        <v>1.7520533880903491</v>
      </c>
      <c r="M4">
        <v>1.3328362322049399E-2</v>
      </c>
    </row>
    <row r="5" spans="1:13" x14ac:dyDescent="0.2">
      <c r="A5" s="1" t="s">
        <v>84</v>
      </c>
      <c r="B5">
        <v>0.56331279945242985</v>
      </c>
      <c r="C5">
        <v>0.57563312799452426</v>
      </c>
      <c r="D5">
        <v>0.61327857631759064</v>
      </c>
      <c r="E5">
        <v>0.59890485968514717</v>
      </c>
      <c r="F5">
        <v>0.60301163586584527</v>
      </c>
      <c r="G5">
        <v>0.57905544147843946</v>
      </c>
      <c r="H5">
        <v>0.57426420260095823</v>
      </c>
      <c r="I5">
        <v>0.55236139630390146</v>
      </c>
      <c r="J5">
        <v>0.588466803559206</v>
      </c>
      <c r="K5">
        <v>2.0381449965746479E-2</v>
      </c>
      <c r="L5">
        <v>0.57648870636550309</v>
      </c>
      <c r="M5">
        <v>1.652219086522215E-2</v>
      </c>
    </row>
    <row r="6" spans="1:13" x14ac:dyDescent="0.2">
      <c r="A6" s="1" t="s">
        <v>85</v>
      </c>
      <c r="B6">
        <v>2.976728268309377</v>
      </c>
      <c r="C6">
        <v>3.0807665982203969</v>
      </c>
      <c r="D6">
        <v>2.992470910335387</v>
      </c>
      <c r="E6">
        <v>3.0513347022587269</v>
      </c>
      <c r="F6">
        <v>3.0266940451745379</v>
      </c>
      <c r="G6">
        <v>3.0198494182067082</v>
      </c>
      <c r="H6">
        <v>3.0431211498973312</v>
      </c>
      <c r="I6">
        <v>3.0006844626967828</v>
      </c>
      <c r="J6">
        <v>3.0097535934291582</v>
      </c>
      <c r="K6">
        <v>2.640897557735444E-2</v>
      </c>
      <c r="L6">
        <v>3.0381587953456539</v>
      </c>
      <c r="M6">
        <v>3.0531083699605641E-2</v>
      </c>
    </row>
    <row r="7" spans="1:13" x14ac:dyDescent="0.2">
      <c r="A7" s="1" t="s">
        <v>86</v>
      </c>
      <c r="B7">
        <v>0.75906913073237503</v>
      </c>
      <c r="C7">
        <v>0.76112251882272419</v>
      </c>
      <c r="D7">
        <v>0.80287474332648867</v>
      </c>
      <c r="E7">
        <v>0.77207392197125257</v>
      </c>
      <c r="F7">
        <v>0.76865160848733749</v>
      </c>
      <c r="G7">
        <v>0.75154004106776184</v>
      </c>
      <c r="H7">
        <v>0.77412731006160163</v>
      </c>
      <c r="I7">
        <v>0.72416153319644083</v>
      </c>
      <c r="J7">
        <v>0.77618069815195079</v>
      </c>
      <c r="K7">
        <v>1.6326982124403231E-2</v>
      </c>
      <c r="L7">
        <v>0.75222450376454486</v>
      </c>
      <c r="M7">
        <v>1.775649797545906E-2</v>
      </c>
    </row>
    <row r="8" spans="1:13" x14ac:dyDescent="0.2">
      <c r="A8" s="1" t="s">
        <v>87</v>
      </c>
      <c r="B8">
        <v>689.05162127306039</v>
      </c>
      <c r="C8">
        <v>688.24994358113258</v>
      </c>
      <c r="D8">
        <v>687.4002370332322</v>
      </c>
      <c r="E8">
        <v>692.06026052244954</v>
      </c>
      <c r="F8">
        <v>686.61603373942023</v>
      </c>
      <c r="G8">
        <v>687.51220784658108</v>
      </c>
      <c r="H8">
        <v>687.39117731579563</v>
      </c>
      <c r="I8">
        <v>688.76196750334623</v>
      </c>
      <c r="J8">
        <v>687.61476734037717</v>
      </c>
      <c r="K8">
        <v>0.88854287759845052</v>
      </c>
      <c r="L8">
        <v>689.14609486337736</v>
      </c>
      <c r="M8">
        <v>1.740157264557179</v>
      </c>
    </row>
    <row r="9" spans="1:13" x14ac:dyDescent="0.2">
      <c r="A9" s="1" t="s">
        <v>88</v>
      </c>
      <c r="B9">
        <v>1081.2000074078501</v>
      </c>
      <c r="C9">
        <v>1077.7500875050409</v>
      </c>
      <c r="D9">
        <v>1077.101112864588</v>
      </c>
      <c r="E9">
        <v>1081.186616241383</v>
      </c>
      <c r="F9">
        <v>1078.939698303845</v>
      </c>
      <c r="G9">
        <v>1079.532970487242</v>
      </c>
      <c r="H9">
        <v>1081.31553084045</v>
      </c>
      <c r="I9">
        <v>1079.707261976059</v>
      </c>
      <c r="J9">
        <v>1079.6390873541829</v>
      </c>
      <c r="K9">
        <v>1.7448061303589879</v>
      </c>
      <c r="L9">
        <v>1079.544234052431</v>
      </c>
      <c r="M9">
        <v>1.218922276016978</v>
      </c>
    </row>
    <row r="10" spans="1:13" x14ac:dyDescent="0.2">
      <c r="A10" s="1" t="s">
        <v>89</v>
      </c>
      <c r="B10">
        <v>1470.045419118082</v>
      </c>
      <c r="C10">
        <v>1475.2239451215739</v>
      </c>
      <c r="D10">
        <v>1465.597342785047</v>
      </c>
      <c r="E10">
        <v>1470.696043662628</v>
      </c>
      <c r="F10">
        <v>1470.376508335924</v>
      </c>
      <c r="G10">
        <v>1470.014725299249</v>
      </c>
      <c r="H10">
        <v>1468.890291022976</v>
      </c>
      <c r="I10">
        <v>1470.1624173888449</v>
      </c>
      <c r="J10">
        <v>1468.7273903155069</v>
      </c>
      <c r="K10">
        <v>1.889479052087699</v>
      </c>
      <c r="L10">
        <v>1471.5242828680739</v>
      </c>
      <c r="M10">
        <v>2.1509836475738511</v>
      </c>
    </row>
    <row r="11" spans="1:13" x14ac:dyDescent="0.2">
      <c r="A11" s="1" t="s">
        <v>90</v>
      </c>
      <c r="B11">
        <v>1859.340714324891</v>
      </c>
      <c r="C11">
        <v>1859.718417956075</v>
      </c>
      <c r="D11">
        <v>1854.635772569223</v>
      </c>
      <c r="E11">
        <v>1859.024658287686</v>
      </c>
      <c r="F11">
        <v>1861.991043838538</v>
      </c>
      <c r="G11">
        <v>1854.8763141508341</v>
      </c>
      <c r="H11">
        <v>1855.268403880528</v>
      </c>
      <c r="I11">
        <v>1857.1520111873999</v>
      </c>
      <c r="J11">
        <v>1857.8089836532949</v>
      </c>
      <c r="K11">
        <v>3.014947777705923</v>
      </c>
      <c r="L11">
        <v>1857.6928503954989</v>
      </c>
      <c r="M11">
        <v>1.8776327962807571</v>
      </c>
    </row>
    <row r="12" spans="1:13" x14ac:dyDescent="0.2">
      <c r="A12" s="1" t="s">
        <v>91</v>
      </c>
      <c r="B12">
        <v>2253.4180993903742</v>
      </c>
      <c r="C12">
        <v>2251.4802098558371</v>
      </c>
      <c r="D12">
        <v>2234.034273306499</v>
      </c>
      <c r="E12">
        <v>2242.2695364806932</v>
      </c>
      <c r="F12">
        <v>2250.3926417622069</v>
      </c>
      <c r="G12">
        <v>2246.771209622626</v>
      </c>
      <c r="H12">
        <v>2250.7010202666279</v>
      </c>
      <c r="I12">
        <v>2242.6423594362468</v>
      </c>
      <c r="J12">
        <v>2247.1365086814271</v>
      </c>
      <c r="K12">
        <v>7.6556367980648572</v>
      </c>
      <c r="L12">
        <v>2245.7908288488511</v>
      </c>
      <c r="M12">
        <v>3.7296971153295728</v>
      </c>
    </row>
    <row r="13" spans="1:13" x14ac:dyDescent="0.2">
      <c r="A13" s="1" t="s">
        <v>92</v>
      </c>
      <c r="B13">
        <v>3288.569256806938</v>
      </c>
      <c r="C13">
        <v>3371.0911886533531</v>
      </c>
      <c r="D13">
        <v>3199.853002659961</v>
      </c>
      <c r="E13">
        <v>3222.474907267278</v>
      </c>
      <c r="F13">
        <v>3142.8545735724151</v>
      </c>
      <c r="G13">
        <v>3337.1408094266721</v>
      </c>
      <c r="H13">
        <v>3120.2601474978801</v>
      </c>
      <c r="I13">
        <v>3224.1805452565941</v>
      </c>
      <c r="J13">
        <v>3187.884245134298</v>
      </c>
      <c r="K13">
        <v>64.964245232163549</v>
      </c>
      <c r="L13">
        <v>3288.7218626509739</v>
      </c>
      <c r="M13">
        <v>66.489361971606812</v>
      </c>
    </row>
    <row r="14" spans="1:13" x14ac:dyDescent="0.2">
      <c r="A14" s="1" t="s">
        <v>93</v>
      </c>
      <c r="B14">
        <v>31.552829676384381</v>
      </c>
      <c r="C14">
        <v>31.84861576525784</v>
      </c>
      <c r="D14">
        <v>30.828438384392811</v>
      </c>
      <c r="E14">
        <v>33.13824631892227</v>
      </c>
      <c r="F14">
        <v>28.950133464751609</v>
      </c>
      <c r="G14">
        <v>30.75346885533575</v>
      </c>
      <c r="H14">
        <v>31.609071521245749</v>
      </c>
      <c r="I14">
        <v>30.890240915929329</v>
      </c>
      <c r="J14">
        <v>30.735118261693639</v>
      </c>
      <c r="K14">
        <v>1.075560973191674</v>
      </c>
      <c r="L14">
        <v>31.657642963861299</v>
      </c>
      <c r="M14">
        <v>0.95329607515047465</v>
      </c>
    </row>
    <row r="15" spans="1:13" x14ac:dyDescent="0.2">
      <c r="A15" s="1" t="s">
        <v>94</v>
      </c>
      <c r="B15">
        <v>391.85019900468342</v>
      </c>
      <c r="C15">
        <v>392.96095758253489</v>
      </c>
      <c r="D15">
        <v>390.17968721703198</v>
      </c>
      <c r="E15">
        <v>390.9826801824143</v>
      </c>
      <c r="F15">
        <v>391.33669353162242</v>
      </c>
      <c r="G15">
        <v>391.53850958417661</v>
      </c>
      <c r="H15">
        <v>391.37677099130178</v>
      </c>
      <c r="I15">
        <v>391.7988341198153</v>
      </c>
      <c r="J15">
        <v>391.18583768615991</v>
      </c>
      <c r="K15">
        <v>0.61500563842926592</v>
      </c>
      <c r="L15">
        <v>391.82024536723532</v>
      </c>
      <c r="M15">
        <v>0.72155618109917585</v>
      </c>
    </row>
    <row r="16" spans="1:13" x14ac:dyDescent="0.2">
      <c r="A16" s="1" t="s">
        <v>95</v>
      </c>
      <c r="B16">
        <v>645.63790534877842</v>
      </c>
      <c r="C16">
        <v>642.99234206365907</v>
      </c>
      <c r="D16">
        <v>643.50093279604857</v>
      </c>
      <c r="E16">
        <v>643.72773684652373</v>
      </c>
      <c r="F16">
        <v>643.20910305844404</v>
      </c>
      <c r="G16">
        <v>643.37620020083887</v>
      </c>
      <c r="H16">
        <v>642.5269621254763</v>
      </c>
      <c r="I16">
        <v>640.5325044780077</v>
      </c>
      <c r="J16">
        <v>643.71872583218681</v>
      </c>
      <c r="K16">
        <v>1.1630455631277681</v>
      </c>
      <c r="L16">
        <v>642.65719589725734</v>
      </c>
      <c r="M16">
        <v>1.2539598969376751</v>
      </c>
    </row>
    <row r="17" spans="1:13" x14ac:dyDescent="0.2">
      <c r="A17" s="1" t="s">
        <v>96</v>
      </c>
      <c r="B17">
        <v>599.4517453798768</v>
      </c>
      <c r="C17">
        <v>646.82010038786223</v>
      </c>
      <c r="D17">
        <v>628.47798311658676</v>
      </c>
      <c r="E17">
        <v>640.53382386493263</v>
      </c>
      <c r="F17">
        <v>639.46389459274474</v>
      </c>
      <c r="G17">
        <v>636.84770704996572</v>
      </c>
      <c r="H17">
        <v>631.09342915811089</v>
      </c>
      <c r="I17">
        <v>640.46098562628333</v>
      </c>
      <c r="J17">
        <v>624.62176306182982</v>
      </c>
      <c r="K17">
        <v>15.08783909033423</v>
      </c>
      <c r="L17">
        <v>641.16565423226098</v>
      </c>
      <c r="M17">
        <v>3.588634721346478</v>
      </c>
    </row>
    <row r="18" spans="1:13" x14ac:dyDescent="0.2">
      <c r="A18" s="1" t="s">
        <v>97</v>
      </c>
      <c r="B18">
        <v>167.03703796965749</v>
      </c>
      <c r="C18">
        <v>167.78277110332061</v>
      </c>
      <c r="D18">
        <v>166.38557639148939</v>
      </c>
      <c r="E18">
        <v>166.5416391917847</v>
      </c>
      <c r="F18">
        <v>168.11168490401809</v>
      </c>
      <c r="G18">
        <v>167.01232541340829</v>
      </c>
      <c r="H18">
        <v>166.83169242559691</v>
      </c>
      <c r="I18">
        <v>168.16423044911349</v>
      </c>
      <c r="J18">
        <v>167.09149792269051</v>
      </c>
      <c r="K18">
        <v>0.6343444387491779</v>
      </c>
      <c r="L18">
        <v>167.3752415394068</v>
      </c>
      <c r="M18">
        <v>0.63544961121530108</v>
      </c>
    </row>
    <row r="19" spans="1:13" x14ac:dyDescent="0.2">
      <c r="A19" s="1" t="s">
        <v>98</v>
      </c>
      <c r="B19">
        <v>134.1244921809226</v>
      </c>
      <c r="C19">
        <v>133.6509417680148</v>
      </c>
      <c r="D19">
        <v>133.77522791296531</v>
      </c>
      <c r="E19">
        <v>134.5200966319762</v>
      </c>
      <c r="F19">
        <v>133.7765081349273</v>
      </c>
      <c r="G19">
        <v>133.7537683766981</v>
      </c>
      <c r="H19">
        <v>134.06469522873689</v>
      </c>
      <c r="I19">
        <v>134.21462297408181</v>
      </c>
      <c r="J19">
        <v>133.93523086438799</v>
      </c>
      <c r="K19">
        <v>0.1607596940188101</v>
      </c>
      <c r="L19">
        <v>134.03485743769269</v>
      </c>
      <c r="M19">
        <v>0.35148791777856447</v>
      </c>
    </row>
    <row r="20" spans="1:13" x14ac:dyDescent="0.2">
      <c r="A20" s="1" t="s">
        <v>99</v>
      </c>
      <c r="B20">
        <v>35.372005475701577</v>
      </c>
      <c r="C20">
        <v>38.672826830937723</v>
      </c>
      <c r="D20">
        <v>38.116700889801507</v>
      </c>
      <c r="E20">
        <v>40.187542778918548</v>
      </c>
      <c r="F20">
        <v>38.337782340862432</v>
      </c>
      <c r="G20">
        <v>33.568104038329913</v>
      </c>
      <c r="H20">
        <v>38.25975359342916</v>
      </c>
      <c r="I20">
        <v>30.438968742870181</v>
      </c>
      <c r="J20">
        <v>37.521560574948673</v>
      </c>
      <c r="K20">
        <v>1.243576095655893</v>
      </c>
      <c r="L20">
        <v>35.716860597764089</v>
      </c>
      <c r="M20">
        <v>3.9114585745032988</v>
      </c>
    </row>
    <row r="21" spans="1:13" x14ac:dyDescent="0.2">
      <c r="A21" s="1" t="s">
        <v>100</v>
      </c>
      <c r="B21">
        <v>748.42173224211115</v>
      </c>
      <c r="C21">
        <v>749.04813877242418</v>
      </c>
      <c r="D21">
        <v>748.30135201206929</v>
      </c>
      <c r="E21">
        <v>748.85131497864325</v>
      </c>
      <c r="F21">
        <v>748.70891667448666</v>
      </c>
      <c r="G21">
        <v>746.56203846299786</v>
      </c>
      <c r="H21">
        <v>747.91610764893608</v>
      </c>
      <c r="I21">
        <v>745.90338148730143</v>
      </c>
      <c r="J21">
        <v>748.33702714440074</v>
      </c>
      <c r="K21">
        <v>0.28457104248972198</v>
      </c>
      <c r="L21">
        <v>747.59121842534171</v>
      </c>
      <c r="M21">
        <v>1.380078362420825</v>
      </c>
    </row>
    <row r="22" spans="1:13" x14ac:dyDescent="0.2">
      <c r="A22" s="1" t="s">
        <v>101</v>
      </c>
      <c r="B22">
        <v>3.0589028243040151</v>
      </c>
      <c r="C22">
        <v>2.904491055392346</v>
      </c>
      <c r="D22">
        <v>2.9220397034338599</v>
      </c>
      <c r="E22">
        <v>2.9784147381161739</v>
      </c>
      <c r="F22">
        <v>2.8490055993931662</v>
      </c>
      <c r="G22">
        <v>3.0609851213085628</v>
      </c>
      <c r="H22">
        <v>2.8901249089815888</v>
      </c>
      <c r="I22">
        <v>3.0119387903498942</v>
      </c>
      <c r="J22">
        <v>2.930018259028158</v>
      </c>
      <c r="K22">
        <v>7.8786767472068198E-2</v>
      </c>
      <c r="L22">
        <v>2.9889574262917442</v>
      </c>
      <c r="M22">
        <v>5.6925056061217547E-2</v>
      </c>
    </row>
    <row r="23" spans="1:13" x14ac:dyDescent="0.2">
      <c r="A23" s="1" t="s">
        <v>102</v>
      </c>
      <c r="B23">
        <v>1.422313483915127</v>
      </c>
      <c r="C23">
        <v>1.42299794661191</v>
      </c>
      <c r="D23">
        <v>1.4414784394250511</v>
      </c>
      <c r="E23">
        <v>1.438056125941136</v>
      </c>
      <c r="F23">
        <v>1.4373716632443529</v>
      </c>
      <c r="G23">
        <v>1.4414784394250511</v>
      </c>
      <c r="H23">
        <v>1.440109514031485</v>
      </c>
      <c r="I23">
        <v>1.418206707734428</v>
      </c>
      <c r="J23">
        <v>1.4353182751540039</v>
      </c>
      <c r="K23">
        <v>7.6525255903483556E-3</v>
      </c>
      <c r="L23">
        <v>1.4301848049281309</v>
      </c>
      <c r="M23">
        <v>9.8059882148489978E-3</v>
      </c>
    </row>
    <row r="24" spans="1:13" x14ac:dyDescent="0.2">
      <c r="A24" s="1" t="s">
        <v>103</v>
      </c>
      <c r="B24">
        <v>6.8446269678302529E-3</v>
      </c>
      <c r="C24">
        <v>2.4640657084188909E-2</v>
      </c>
      <c r="D24">
        <v>2.3956194387405889E-2</v>
      </c>
      <c r="E24">
        <v>1.848049281314168E-2</v>
      </c>
      <c r="F24">
        <v>2.532511978097194E-2</v>
      </c>
      <c r="G24">
        <v>2.121834360027379E-2</v>
      </c>
      <c r="H24">
        <v>1.5058179329226561E-2</v>
      </c>
      <c r="I24">
        <v>1.9164955509924711E-2</v>
      </c>
      <c r="J24">
        <v>1.779603011635866E-2</v>
      </c>
      <c r="K24">
        <v>7.4509038525247236E-3</v>
      </c>
      <c r="L24">
        <v>2.0876112251882271E-2</v>
      </c>
      <c r="M24">
        <v>2.3956194387405889E-3</v>
      </c>
    </row>
    <row r="25" spans="1:13" x14ac:dyDescent="0.2">
      <c r="A25" s="1" t="s">
        <v>104</v>
      </c>
      <c r="B25">
        <v>115.92290206838889</v>
      </c>
      <c r="C25">
        <v>116.73625669461551</v>
      </c>
      <c r="D25">
        <v>114.6582938182825</v>
      </c>
      <c r="E25">
        <v>113.5170666934649</v>
      </c>
      <c r="F25">
        <v>116.8150002675378</v>
      </c>
      <c r="G25">
        <v>115.9763418817559</v>
      </c>
      <c r="H25">
        <v>117.3235084214912</v>
      </c>
      <c r="I25">
        <v>115.96747692228681</v>
      </c>
      <c r="J25">
        <v>116.1799261439251</v>
      </c>
      <c r="K25">
        <v>1.011499614173365</v>
      </c>
      <c r="L25">
        <v>115.5492855480308</v>
      </c>
      <c r="M25">
        <v>1.214091750379144</v>
      </c>
    </row>
    <row r="26" spans="1:13" x14ac:dyDescent="0.2">
      <c r="A26" s="1" t="s">
        <v>105</v>
      </c>
      <c r="B26">
        <v>114.3646041314951</v>
      </c>
      <c r="C26">
        <v>118.5618696954992</v>
      </c>
      <c r="D26">
        <v>114.733489879019</v>
      </c>
      <c r="E26">
        <v>116.4951958424283</v>
      </c>
      <c r="F26">
        <v>116.0063173238898</v>
      </c>
      <c r="G26">
        <v>116.4734783089044</v>
      </c>
      <c r="H26">
        <v>116.2315433291563</v>
      </c>
      <c r="I26">
        <v>117.6043154772115</v>
      </c>
      <c r="J26">
        <v>115.3339886658901</v>
      </c>
      <c r="K26">
        <v>0.79967733594188006</v>
      </c>
      <c r="L26">
        <v>117.2837148310109</v>
      </c>
      <c r="M26">
        <v>0.86814602012992159</v>
      </c>
    </row>
    <row r="27" spans="1:13" x14ac:dyDescent="0.2">
      <c r="A27" s="1" t="s">
        <v>106</v>
      </c>
      <c r="B27">
        <v>113.3098433793851</v>
      </c>
      <c r="C27">
        <v>116.9212215364843</v>
      </c>
      <c r="D27">
        <v>114.9269937124193</v>
      </c>
      <c r="E27">
        <v>115.9857793972716</v>
      </c>
      <c r="F27">
        <v>115.7173581713925</v>
      </c>
      <c r="G27">
        <v>114.3301018778963</v>
      </c>
      <c r="H27">
        <v>114.92497021164721</v>
      </c>
      <c r="I27">
        <v>115.973322554836</v>
      </c>
      <c r="J27">
        <v>114.719791368711</v>
      </c>
      <c r="K27">
        <v>0.87580306394233276</v>
      </c>
      <c r="L27">
        <v>115.80260634162209</v>
      </c>
      <c r="M27">
        <v>0.93304149742106524</v>
      </c>
    </row>
    <row r="28" spans="1:13" x14ac:dyDescent="0.2">
      <c r="A28" s="1" t="s">
        <v>107</v>
      </c>
      <c r="B28">
        <v>113.9851177305727</v>
      </c>
      <c r="C28">
        <v>114.7340699864251</v>
      </c>
      <c r="D28">
        <v>113.56038307259441</v>
      </c>
      <c r="E28">
        <v>113.2641078764641</v>
      </c>
      <c r="F28">
        <v>115.95380276249701</v>
      </c>
      <c r="G28">
        <v>116.79378822088189</v>
      </c>
      <c r="H28">
        <v>116.19613266359551</v>
      </c>
      <c r="I28">
        <v>114.6285962517499</v>
      </c>
      <c r="J28">
        <v>114.9238590573149</v>
      </c>
      <c r="K28">
        <v>1.1640195664727579</v>
      </c>
      <c r="L28">
        <v>114.8551405838802</v>
      </c>
      <c r="M28">
        <v>1.260527683205418</v>
      </c>
    </row>
    <row r="29" spans="1:13" x14ac:dyDescent="0.2">
      <c r="A29" s="1" t="s">
        <v>108</v>
      </c>
      <c r="B29">
        <v>121.2950621853695</v>
      </c>
      <c r="C29">
        <v>116.2654671377677</v>
      </c>
      <c r="D29">
        <v>112.88557390156799</v>
      </c>
      <c r="E29">
        <v>115.67923812048269</v>
      </c>
      <c r="F29">
        <v>110.6258538222685</v>
      </c>
      <c r="G29">
        <v>117.16100364991119</v>
      </c>
      <c r="H29">
        <v>114.57409725371529</v>
      </c>
      <c r="I29">
        <v>116.1816413276605</v>
      </c>
      <c r="J29">
        <v>114.8451467907303</v>
      </c>
      <c r="K29">
        <v>3.9786063989533869</v>
      </c>
      <c r="L29">
        <v>116.32183755895549</v>
      </c>
      <c r="M29">
        <v>0.53384603917927775</v>
      </c>
    </row>
    <row r="30" spans="1:13" x14ac:dyDescent="0.2">
      <c r="A30" s="1" t="s">
        <v>109</v>
      </c>
      <c r="B30">
        <v>116.5678550103477</v>
      </c>
      <c r="C30">
        <v>114.8979888831378</v>
      </c>
      <c r="D30">
        <v>112.9993590926679</v>
      </c>
      <c r="E30">
        <v>112.3378214986103</v>
      </c>
      <c r="F30">
        <v>112.5315616380617</v>
      </c>
      <c r="G30">
        <v>114.8167761369308</v>
      </c>
      <c r="H30">
        <v>115.19375151947079</v>
      </c>
      <c r="I30">
        <v>113.9475436273721</v>
      </c>
      <c r="J30">
        <v>114.323131815137</v>
      </c>
      <c r="K30">
        <v>1.6400349701172421</v>
      </c>
      <c r="L30">
        <v>114.00003253651271</v>
      </c>
      <c r="M30">
        <v>1.0294532929394611</v>
      </c>
    </row>
    <row r="31" spans="1:13" x14ac:dyDescent="0.2">
      <c r="A31" s="1" t="s">
        <v>110</v>
      </c>
      <c r="B31">
        <v>0.38945927446954143</v>
      </c>
      <c r="C31">
        <v>0.42984257357973987</v>
      </c>
      <c r="D31">
        <v>0.41478439425051328</v>
      </c>
      <c r="E31">
        <v>0.41067761806981518</v>
      </c>
      <c r="F31">
        <v>0.43531827515400412</v>
      </c>
      <c r="G31">
        <v>0.41683778234086238</v>
      </c>
      <c r="H31">
        <v>0.40725530458590009</v>
      </c>
      <c r="I31">
        <v>0.3921971252566735</v>
      </c>
      <c r="J31">
        <v>0.4117043121149897</v>
      </c>
      <c r="K31">
        <v>1.6444919612229929E-2</v>
      </c>
      <c r="L31">
        <v>0.41238877481177272</v>
      </c>
      <c r="M31">
        <v>1.3555990636781919E-2</v>
      </c>
    </row>
    <row r="32" spans="1:13" x14ac:dyDescent="0.2">
      <c r="A32" s="1" t="s">
        <v>111</v>
      </c>
      <c r="B32">
        <v>7.5290896646132782E-2</v>
      </c>
      <c r="C32">
        <v>8.8980150581793288E-2</v>
      </c>
      <c r="D32">
        <v>9.2402464065708415E-2</v>
      </c>
      <c r="E32">
        <v>8.5557837097878162E-2</v>
      </c>
      <c r="F32">
        <v>7.3237508555783704E-2</v>
      </c>
      <c r="G32">
        <v>8.3504449007529083E-2</v>
      </c>
      <c r="H32">
        <v>9.1033538672142367E-2</v>
      </c>
      <c r="I32">
        <v>7.939767282683094E-2</v>
      </c>
      <c r="J32">
        <v>8.299110198494182E-2</v>
      </c>
      <c r="K32">
        <v>8.770408643901096E-3</v>
      </c>
      <c r="L32">
        <v>8.4360027378507868E-2</v>
      </c>
      <c r="M32">
        <v>3.4690511520727718E-3</v>
      </c>
    </row>
    <row r="33" spans="1:13" x14ac:dyDescent="0.2">
      <c r="A33" s="1" t="s">
        <v>112</v>
      </c>
      <c r="B33">
        <v>1.9849418206707731E-2</v>
      </c>
      <c r="C33">
        <v>2.3956194387405889E-2</v>
      </c>
      <c r="D33">
        <v>1.848049281314168E-2</v>
      </c>
      <c r="E33">
        <v>2.600958247775496E-2</v>
      </c>
      <c r="F33">
        <v>1.9849418206707731E-2</v>
      </c>
      <c r="G33">
        <v>2.874743326488706E-2</v>
      </c>
      <c r="H33">
        <v>3.4907597535934289E-2</v>
      </c>
      <c r="I33">
        <v>2.0533880903490759E-2</v>
      </c>
      <c r="J33">
        <v>2.3271731690622861E-2</v>
      </c>
      <c r="K33">
        <v>6.7411757712498993E-3</v>
      </c>
      <c r="L33">
        <v>2.481177275838467E-2</v>
      </c>
      <c r="M33">
        <v>2.998188820659691E-3</v>
      </c>
    </row>
    <row r="34" spans="1:13" x14ac:dyDescent="0.2">
      <c r="A34" s="1" t="s">
        <v>113</v>
      </c>
      <c r="B34">
        <v>4.380561259411362E-2</v>
      </c>
      <c r="C34">
        <v>5.5441478439425047E-2</v>
      </c>
      <c r="D34">
        <v>5.8863791923340181E-2</v>
      </c>
      <c r="E34">
        <v>4.9965776865160849E-2</v>
      </c>
      <c r="F34">
        <v>5.8863791923340181E-2</v>
      </c>
      <c r="G34">
        <v>5.3388090349075983E-2</v>
      </c>
      <c r="H34">
        <v>4.7227926078028747E-2</v>
      </c>
      <c r="I34">
        <v>3.6276522929500343E-2</v>
      </c>
      <c r="J34">
        <v>5.2190280629705682E-2</v>
      </c>
      <c r="K34">
        <v>6.7823138886401154E-3</v>
      </c>
      <c r="L34">
        <v>4.8767967145790563E-2</v>
      </c>
      <c r="M34">
        <v>7.4724865027029604E-3</v>
      </c>
    </row>
    <row r="35" spans="1:13" x14ac:dyDescent="0.2">
      <c r="A35" s="1" t="s">
        <v>114</v>
      </c>
      <c r="B35">
        <v>3.4223134839151258E-2</v>
      </c>
      <c r="C35">
        <v>3.8329911019849422E-2</v>
      </c>
      <c r="D35">
        <v>2.7378507871321012E-2</v>
      </c>
      <c r="E35">
        <v>2.943189596167009E-2</v>
      </c>
      <c r="F35">
        <v>3.6276522929500343E-2</v>
      </c>
      <c r="G35">
        <v>2.7378507871321012E-2</v>
      </c>
      <c r="H35">
        <v>2.8062970568104039E-2</v>
      </c>
      <c r="I35">
        <v>2.943189596167009E-2</v>
      </c>
      <c r="J35">
        <v>3.1485284052019162E-2</v>
      </c>
      <c r="K35">
        <v>3.8415373580841291E-3</v>
      </c>
      <c r="L35">
        <v>3.114305270362765E-2</v>
      </c>
      <c r="M35">
        <v>4.2331679934472883E-3</v>
      </c>
    </row>
    <row r="36" spans="1:13" x14ac:dyDescent="0.2">
      <c r="A36" s="1" t="s">
        <v>115</v>
      </c>
      <c r="B36">
        <v>0.14168377823408621</v>
      </c>
      <c r="C36">
        <v>0.14579055441478439</v>
      </c>
      <c r="D36">
        <v>0.14305270362765229</v>
      </c>
      <c r="E36">
        <v>0.1375770020533881</v>
      </c>
      <c r="F36">
        <v>0.15879534565366191</v>
      </c>
      <c r="G36">
        <v>0.1403148528405202</v>
      </c>
      <c r="H36">
        <v>0.14099931553730319</v>
      </c>
      <c r="I36">
        <v>0.15331964407939769</v>
      </c>
      <c r="J36">
        <v>0.1461327857631759</v>
      </c>
      <c r="K36">
        <v>7.3480186699465769E-3</v>
      </c>
      <c r="L36">
        <v>0.1442505133470226</v>
      </c>
      <c r="M36">
        <v>6.0134440078047739E-3</v>
      </c>
    </row>
    <row r="37" spans="1:13" x14ac:dyDescent="0.2">
      <c r="A37" s="1" t="s">
        <v>116</v>
      </c>
      <c r="B37">
        <v>4.0383299110198487E-2</v>
      </c>
      <c r="C37">
        <v>5.2019164955509928E-2</v>
      </c>
      <c r="D37">
        <v>5.2703627652292952E-2</v>
      </c>
      <c r="E37">
        <v>4.9281314168377832E-2</v>
      </c>
      <c r="F37">
        <v>5.817932922655715E-2</v>
      </c>
      <c r="G37">
        <v>5.817932922655715E-2</v>
      </c>
      <c r="H37">
        <v>4.4490075290896637E-2</v>
      </c>
      <c r="I37">
        <v>4.5859000684462699E-2</v>
      </c>
      <c r="J37">
        <v>4.893908281998631E-2</v>
      </c>
      <c r="K37">
        <v>6.9381023041455488E-3</v>
      </c>
      <c r="L37">
        <v>5.1334702258726897E-2</v>
      </c>
      <c r="M37">
        <v>4.514341532605378E-3</v>
      </c>
    </row>
    <row r="38" spans="1:13" x14ac:dyDescent="0.2">
      <c r="A38" s="1" t="s">
        <v>117</v>
      </c>
      <c r="B38">
        <v>1.300479123887748E-2</v>
      </c>
      <c r="C38">
        <v>1.095140314852841E-2</v>
      </c>
      <c r="D38">
        <v>1.1635865845311431E-2</v>
      </c>
      <c r="E38">
        <v>1.0266940451745379E-2</v>
      </c>
      <c r="F38">
        <v>1.0266940451745379E-2</v>
      </c>
      <c r="G38">
        <v>1.0266940451745379E-2</v>
      </c>
      <c r="H38">
        <v>1.232032854209446E-2</v>
      </c>
      <c r="I38">
        <v>8.8980150581793298E-3</v>
      </c>
      <c r="J38">
        <v>1.180698151950719E-2</v>
      </c>
      <c r="K38">
        <v>1.012333980680975E-3</v>
      </c>
      <c r="L38">
        <v>1.009582477754962E-2</v>
      </c>
      <c r="M38">
        <v>7.4587593147513195E-4</v>
      </c>
    </row>
    <row r="39" spans="1:13" x14ac:dyDescent="0.2">
      <c r="A39" s="1" t="s">
        <v>118</v>
      </c>
      <c r="B39">
        <v>2.121834360027379E-2</v>
      </c>
      <c r="C39">
        <v>1.437371663244353E-2</v>
      </c>
      <c r="D39">
        <v>1.0266940451745379E-2</v>
      </c>
      <c r="E39">
        <v>2.2587268993839841E-2</v>
      </c>
      <c r="F39">
        <v>1.9849418206707731E-2</v>
      </c>
      <c r="G39">
        <v>1.5058179329226561E-2</v>
      </c>
      <c r="H39">
        <v>8.2135523613963042E-3</v>
      </c>
      <c r="I39">
        <v>1.848049281314168E-2</v>
      </c>
      <c r="J39">
        <v>1.4887063655030799E-2</v>
      </c>
      <c r="K39">
        <v>5.7138288354086249E-3</v>
      </c>
      <c r="L39">
        <v>1.7624914442162899E-2</v>
      </c>
      <c r="M39">
        <v>3.2601914584629802E-3</v>
      </c>
    </row>
    <row r="40" spans="1:13" x14ac:dyDescent="0.2">
      <c r="A40" s="1" t="s">
        <v>119</v>
      </c>
      <c r="B40">
        <v>16075.38165695781</v>
      </c>
      <c r="C40">
        <v>15965.409728311721</v>
      </c>
      <c r="D40">
        <v>16029.050720557459</v>
      </c>
      <c r="E40">
        <v>16000.697340710491</v>
      </c>
      <c r="F40">
        <v>15941.934126620359</v>
      </c>
      <c r="G40">
        <v>16030.811840048271</v>
      </c>
      <c r="H40">
        <v>16020.671139817259</v>
      </c>
      <c r="I40">
        <v>16028.126112185681</v>
      </c>
      <c r="J40">
        <v>16016.759410988219</v>
      </c>
      <c r="K40">
        <v>47.962925308538033</v>
      </c>
      <c r="L40">
        <v>16006.261255314041</v>
      </c>
      <c r="M40">
        <v>26.365733352910741</v>
      </c>
    </row>
    <row r="41" spans="1:13" x14ac:dyDescent="0.2">
      <c r="A41" s="1" t="s">
        <v>120</v>
      </c>
      <c r="B41">
        <v>60.175906913073227</v>
      </c>
      <c r="C41">
        <v>58.475017111567418</v>
      </c>
      <c r="D41">
        <v>59.33949349760438</v>
      </c>
      <c r="E41">
        <v>59.746748802190282</v>
      </c>
      <c r="F41">
        <v>58.496235455167692</v>
      </c>
      <c r="G41">
        <v>59.633127994524301</v>
      </c>
      <c r="H41">
        <v>59.610540725530463</v>
      </c>
      <c r="I41">
        <v>60.117043121149898</v>
      </c>
      <c r="J41">
        <v>59.405544147843941</v>
      </c>
      <c r="K41">
        <v>0.60553434541084528</v>
      </c>
      <c r="L41">
        <v>59.492984257357968</v>
      </c>
      <c r="M41">
        <v>0.61435805656537379</v>
      </c>
    </row>
    <row r="42" spans="1:13" x14ac:dyDescent="0.2">
      <c r="A42" s="1" t="s">
        <v>121</v>
      </c>
      <c r="B42">
        <v>626.93988462135474</v>
      </c>
      <c r="C42">
        <v>622.65097940415694</v>
      </c>
      <c r="D42">
        <v>625.13297810174095</v>
      </c>
      <c r="E42">
        <v>624.02719628770899</v>
      </c>
      <c r="F42">
        <v>621.73543093819399</v>
      </c>
      <c r="G42">
        <v>625.20166176188229</v>
      </c>
      <c r="H42">
        <v>624.80617445287317</v>
      </c>
      <c r="I42">
        <v>625.09691837524167</v>
      </c>
      <c r="J42">
        <v>624.65361702854068</v>
      </c>
      <c r="K42">
        <v>1.870554087032996</v>
      </c>
      <c r="L42">
        <v>624.2441889572475</v>
      </c>
      <c r="M42">
        <v>1.028263600763486</v>
      </c>
    </row>
    <row r="43" spans="1:13" x14ac:dyDescent="0.2">
      <c r="A43" s="1" t="s">
        <v>122</v>
      </c>
      <c r="B43">
        <v>3.9</v>
      </c>
      <c r="C43">
        <v>3.9</v>
      </c>
      <c r="D43">
        <v>3.9</v>
      </c>
      <c r="E43">
        <v>3.9</v>
      </c>
      <c r="F43">
        <v>3.9</v>
      </c>
      <c r="G43">
        <v>3.9</v>
      </c>
      <c r="H43">
        <v>3.9</v>
      </c>
      <c r="I43">
        <v>3.9</v>
      </c>
      <c r="J43">
        <v>3.9</v>
      </c>
      <c r="K43">
        <v>0</v>
      </c>
      <c r="L43">
        <v>3.9</v>
      </c>
      <c r="M43">
        <v>0</v>
      </c>
    </row>
    <row r="44" spans="1:13" x14ac:dyDescent="0.2">
      <c r="A44" s="1" t="s">
        <v>123</v>
      </c>
      <c r="B44">
        <v>514.41221302265012</v>
      </c>
      <c r="C44">
        <v>510.89311130597491</v>
      </c>
      <c r="D44">
        <v>512.92962305783874</v>
      </c>
      <c r="E44">
        <v>512.02231490273562</v>
      </c>
      <c r="F44">
        <v>510.14189205185158</v>
      </c>
      <c r="G44">
        <v>512.9859788815445</v>
      </c>
      <c r="H44">
        <v>512.66147647415244</v>
      </c>
      <c r="I44">
        <v>512.90003558994204</v>
      </c>
      <c r="J44">
        <v>512.53630115162321</v>
      </c>
      <c r="K44">
        <v>1.534813609873213</v>
      </c>
      <c r="L44">
        <v>512.20036017004929</v>
      </c>
      <c r="M44">
        <v>0.84370346729316392</v>
      </c>
    </row>
    <row r="45" spans="1:13" x14ac:dyDescent="0.2">
      <c r="A45" s="1" t="s">
        <v>124</v>
      </c>
      <c r="B45">
        <v>3.2</v>
      </c>
      <c r="C45">
        <v>3.2</v>
      </c>
      <c r="D45">
        <v>3.2</v>
      </c>
      <c r="E45">
        <v>3.2000000000000011</v>
      </c>
      <c r="F45">
        <v>3.2000000000000011</v>
      </c>
      <c r="G45">
        <v>3.2000000000000011</v>
      </c>
      <c r="H45">
        <v>3.2000000000000011</v>
      </c>
      <c r="I45">
        <v>3.2000000000000011</v>
      </c>
      <c r="J45">
        <v>3.2</v>
      </c>
      <c r="K45">
        <v>4.4408920985006262E-16</v>
      </c>
      <c r="L45">
        <v>3.2000000000000011</v>
      </c>
      <c r="M45">
        <v>4.4408920985006262E-16</v>
      </c>
    </row>
    <row r="46" spans="1:13" x14ac:dyDescent="0.2">
      <c r="A46" s="1" t="s">
        <v>125</v>
      </c>
      <c r="B46">
        <v>432.19164955509927</v>
      </c>
      <c r="C46">
        <v>432.73716632443529</v>
      </c>
      <c r="D46">
        <v>432.43394934976038</v>
      </c>
      <c r="E46">
        <v>431.34976043805608</v>
      </c>
      <c r="F46">
        <v>432.47091033538669</v>
      </c>
      <c r="G46">
        <v>431.9281314168378</v>
      </c>
      <c r="H46">
        <v>431.81245722108139</v>
      </c>
      <c r="I46">
        <v>432.05475701574272</v>
      </c>
      <c r="J46">
        <v>432.22724161533199</v>
      </c>
      <c r="K46">
        <v>0.26240018153150502</v>
      </c>
      <c r="L46">
        <v>432.01745379876797</v>
      </c>
      <c r="M46">
        <v>0.49324703786526669</v>
      </c>
    </row>
    <row r="47" spans="1:13" x14ac:dyDescent="0.2">
      <c r="A47" s="1" t="s">
        <v>126</v>
      </c>
      <c r="B47">
        <v>144.17522245037651</v>
      </c>
      <c r="C47">
        <v>161.01095140314851</v>
      </c>
      <c r="D47">
        <v>151.3196440793977</v>
      </c>
      <c r="E47">
        <v>150.17316906228609</v>
      </c>
      <c r="F47">
        <v>160.1567419575633</v>
      </c>
      <c r="G47">
        <v>148.82614647501711</v>
      </c>
      <c r="H47">
        <v>150.04585900068449</v>
      </c>
      <c r="I47">
        <v>147.1101984941821</v>
      </c>
      <c r="J47">
        <v>151.42436687200549</v>
      </c>
      <c r="K47">
        <v>5.7165487904655423</v>
      </c>
      <c r="L47">
        <v>151.78011635865849</v>
      </c>
      <c r="M47">
        <v>5.4388570988379632</v>
      </c>
    </row>
    <row r="48" spans="1:13" x14ac:dyDescent="0.2">
      <c r="A48" s="1" t="s">
        <v>127</v>
      </c>
      <c r="B48">
        <v>113.631074606434</v>
      </c>
      <c r="C48">
        <v>115.95277207392201</v>
      </c>
      <c r="D48">
        <v>118.2156057494867</v>
      </c>
      <c r="E48">
        <v>114.6947296372348</v>
      </c>
      <c r="F48">
        <v>114.35523613963041</v>
      </c>
      <c r="G48">
        <v>115.63244353182751</v>
      </c>
      <c r="H48">
        <v>115.2108145106092</v>
      </c>
      <c r="I48">
        <v>111.5366187542779</v>
      </c>
      <c r="J48">
        <v>115.35318275154</v>
      </c>
      <c r="K48">
        <v>1.744655269592112</v>
      </c>
      <c r="L48">
        <v>114.4541409993155</v>
      </c>
      <c r="M48">
        <v>1.7467191316068471</v>
      </c>
    </row>
    <row r="49" spans="1:13" x14ac:dyDescent="0.2">
      <c r="A49" s="1" t="s">
        <v>128</v>
      </c>
      <c r="B49">
        <v>79.859685147159482</v>
      </c>
      <c r="C49">
        <v>79.96646132785763</v>
      </c>
      <c r="D49">
        <v>81.948665297741272</v>
      </c>
      <c r="E49">
        <v>77.696783025325118</v>
      </c>
      <c r="F49">
        <v>74.824093086926766</v>
      </c>
      <c r="G49">
        <v>79.971937029431899</v>
      </c>
      <c r="H49">
        <v>82.844626967830251</v>
      </c>
      <c r="I49">
        <v>80.316221765913753</v>
      </c>
      <c r="J49">
        <v>79.869267624914443</v>
      </c>
      <c r="K49">
        <v>3.107673399984026</v>
      </c>
      <c r="L49">
        <v>79.487850787132089</v>
      </c>
      <c r="M49">
        <v>1.043734849656448</v>
      </c>
    </row>
    <row r="50" spans="1:13" x14ac:dyDescent="0.2">
      <c r="A50" s="1" t="s">
        <v>129</v>
      </c>
      <c r="B50">
        <v>52.698151950718689</v>
      </c>
      <c r="C50">
        <v>47.755646817248461</v>
      </c>
      <c r="D50">
        <v>48.537303216974678</v>
      </c>
      <c r="E50">
        <v>51.34428473648186</v>
      </c>
      <c r="F50">
        <v>53.241615331964411</v>
      </c>
      <c r="G50">
        <v>46.663244353182748</v>
      </c>
      <c r="H50">
        <v>52.954825462012323</v>
      </c>
      <c r="I50">
        <v>54.109514031485283</v>
      </c>
      <c r="J50">
        <v>51.85797399041752</v>
      </c>
      <c r="K50">
        <v>1.9268043429050259</v>
      </c>
      <c r="L50">
        <v>49.968172484599592</v>
      </c>
      <c r="M50">
        <v>2.9522116506214462</v>
      </c>
    </row>
    <row r="51" spans="1:13" x14ac:dyDescent="0.2">
      <c r="A51" s="1" t="s">
        <v>130</v>
      </c>
      <c r="B51">
        <v>37.05201916495551</v>
      </c>
      <c r="C51">
        <v>27.78850102669405</v>
      </c>
      <c r="D51">
        <v>32.479808350444898</v>
      </c>
      <c r="E51">
        <v>35.024640657084191</v>
      </c>
      <c r="F51">
        <v>32.521560574948673</v>
      </c>
      <c r="G51">
        <v>30.93771389459274</v>
      </c>
      <c r="H51">
        <v>34.111567419575643</v>
      </c>
      <c r="I51">
        <v>35.644763860369608</v>
      </c>
      <c r="J51">
        <v>34.041238877481177</v>
      </c>
      <c r="K51">
        <v>1.858576839763832</v>
      </c>
      <c r="L51">
        <v>32.348904859685149</v>
      </c>
      <c r="M51">
        <v>3.194174058727616</v>
      </c>
    </row>
    <row r="52" spans="1:13" x14ac:dyDescent="0.2">
      <c r="A52" s="1" t="s">
        <v>131</v>
      </c>
      <c r="B52">
        <v>64.951403148528399</v>
      </c>
      <c r="C52">
        <v>58.737850787132103</v>
      </c>
      <c r="D52">
        <v>59.272416153319647</v>
      </c>
      <c r="E52">
        <v>62.162902121834357</v>
      </c>
      <c r="F52">
        <v>55.867898699520879</v>
      </c>
      <c r="G52">
        <v>69.529774127310063</v>
      </c>
      <c r="H52">
        <v>56.25530458590007</v>
      </c>
      <c r="I52">
        <v>63.454483230663932</v>
      </c>
      <c r="J52">
        <v>59.086755646817252</v>
      </c>
      <c r="K52">
        <v>3.6334114582761159</v>
      </c>
      <c r="L52">
        <v>63.471252566735117</v>
      </c>
      <c r="M52">
        <v>3.8994498972420688</v>
      </c>
    </row>
    <row r="53" spans="1:13" x14ac:dyDescent="0.2">
      <c r="A53" s="1" t="s">
        <v>132</v>
      </c>
      <c r="B53">
        <v>379.27036276522932</v>
      </c>
      <c r="C53">
        <v>371.54757015742638</v>
      </c>
      <c r="D53">
        <v>371.51129363449689</v>
      </c>
      <c r="E53">
        <v>376.42505133470218</v>
      </c>
      <c r="F53">
        <v>373.67282683093771</v>
      </c>
      <c r="G53">
        <v>371.91991786447642</v>
      </c>
      <c r="H53">
        <v>374.9438740588638</v>
      </c>
      <c r="I53">
        <v>381.46680355920603</v>
      </c>
      <c r="J53">
        <v>374.84958932238192</v>
      </c>
      <c r="K53">
        <v>2.832009688610726</v>
      </c>
      <c r="L53">
        <v>375.33983572895278</v>
      </c>
      <c r="M53">
        <v>4.0247529138031979</v>
      </c>
    </row>
    <row r="54" spans="1:13" x14ac:dyDescent="0.2">
      <c r="A54" s="1" t="s">
        <v>133</v>
      </c>
      <c r="B54">
        <v>6.4818617385352502</v>
      </c>
      <c r="C54">
        <v>6.6974674880219034</v>
      </c>
      <c r="D54">
        <v>7.1738535249828894</v>
      </c>
      <c r="E54">
        <v>6.7446954140999313</v>
      </c>
      <c r="F54">
        <v>6.4893908281998627</v>
      </c>
      <c r="G54">
        <v>6.1827515400410684</v>
      </c>
      <c r="H54">
        <v>6.8733744010951403</v>
      </c>
      <c r="I54">
        <v>6.2902121834360027</v>
      </c>
      <c r="J54">
        <v>6.7546201232032859</v>
      </c>
      <c r="K54">
        <v>0.28922436749867853</v>
      </c>
      <c r="L54">
        <v>6.4787816563997254</v>
      </c>
      <c r="M54">
        <v>0.2458281388550056</v>
      </c>
    </row>
    <row r="55" spans="1:13" x14ac:dyDescent="0.2">
      <c r="A55" s="1" t="s">
        <v>134</v>
      </c>
      <c r="B55">
        <v>179.78234086242301</v>
      </c>
      <c r="C55">
        <v>183.91101984941821</v>
      </c>
      <c r="D55">
        <v>181.7364818617385</v>
      </c>
      <c r="E55">
        <v>182.3956194387406</v>
      </c>
      <c r="F55">
        <v>185.68172484599589</v>
      </c>
      <c r="G55">
        <v>180.56536618754279</v>
      </c>
      <c r="H55">
        <v>181.7330595482546</v>
      </c>
      <c r="I55">
        <v>182.01916495550989</v>
      </c>
      <c r="J55">
        <v>182.23340177960301</v>
      </c>
      <c r="K55">
        <v>2.14452228615056</v>
      </c>
      <c r="L55">
        <v>182.22279260780289</v>
      </c>
      <c r="M55">
        <v>1.190431318071163</v>
      </c>
    </row>
    <row r="56" spans="1:13" x14ac:dyDescent="0.2">
      <c r="A56" s="1" t="s">
        <v>135</v>
      </c>
      <c r="B56">
        <v>3.9411362080766601</v>
      </c>
      <c r="C56">
        <v>3.9212867898699519</v>
      </c>
      <c r="D56">
        <v>3.958932238193019</v>
      </c>
      <c r="E56">
        <v>3.8877481177275839</v>
      </c>
      <c r="F56">
        <v>3.8809034907597542</v>
      </c>
      <c r="G56">
        <v>3.9199178644763859</v>
      </c>
      <c r="H56">
        <v>3.9397672826830941</v>
      </c>
      <c r="I56">
        <v>3.9753593429158109</v>
      </c>
      <c r="J56">
        <v>3.9301848049281309</v>
      </c>
      <c r="K56">
        <v>2.9439853754423709E-2</v>
      </c>
      <c r="L56">
        <v>3.9260780287474328</v>
      </c>
      <c r="M56">
        <v>3.1459233933693022E-2</v>
      </c>
    </row>
    <row r="57" spans="1:13" x14ac:dyDescent="0.2">
      <c r="A57" s="1" t="s">
        <v>136</v>
      </c>
      <c r="B57">
        <v>1.523613963039014</v>
      </c>
      <c r="C57">
        <v>1.5318275154004111</v>
      </c>
      <c r="D57">
        <v>1.559206023271732</v>
      </c>
      <c r="E57">
        <v>1.5550992470910341</v>
      </c>
      <c r="F57">
        <v>1.516769336071184</v>
      </c>
      <c r="G57">
        <v>1.4976043805612591</v>
      </c>
      <c r="H57">
        <v>1.4982888432580419</v>
      </c>
      <c r="I57">
        <v>1.4120465434633811</v>
      </c>
      <c r="J57">
        <v>1.5244695414099929</v>
      </c>
      <c r="K57">
        <v>2.2091159456121619E-2</v>
      </c>
      <c r="L57">
        <v>1.4991444216290211</v>
      </c>
      <c r="M57">
        <v>5.4285217182951269E-2</v>
      </c>
    </row>
    <row r="58" spans="1:13" x14ac:dyDescent="0.2">
      <c r="A58" s="1" t="s">
        <v>137</v>
      </c>
      <c r="B58">
        <v>312.58521560574951</v>
      </c>
      <c r="C58">
        <v>307.30116358658461</v>
      </c>
      <c r="D58">
        <v>310.03696098562631</v>
      </c>
      <c r="E58">
        <v>308.70088980150581</v>
      </c>
      <c r="F58">
        <v>305.2854209445585</v>
      </c>
      <c r="G58">
        <v>310.99589322381928</v>
      </c>
      <c r="H58">
        <v>309.6899383983573</v>
      </c>
      <c r="I58">
        <v>310.15263518138261</v>
      </c>
      <c r="J58">
        <v>309.39938398357287</v>
      </c>
      <c r="K58">
        <v>2.625125773783763</v>
      </c>
      <c r="L58">
        <v>309.28764544832308</v>
      </c>
      <c r="M58">
        <v>1.410382047254771</v>
      </c>
    </row>
    <row r="59" spans="1:13" x14ac:dyDescent="0.2">
      <c r="A59" s="1" t="s">
        <v>138</v>
      </c>
      <c r="B59">
        <v>0.89117043121149897</v>
      </c>
      <c r="C59">
        <v>0.892539356605065</v>
      </c>
      <c r="D59">
        <v>0.87885010266940455</v>
      </c>
      <c r="E59">
        <v>0.892539356605065</v>
      </c>
      <c r="F59">
        <v>0.89048596851471595</v>
      </c>
      <c r="G59">
        <v>0.89390828199863104</v>
      </c>
      <c r="H59">
        <v>0.90896646132785763</v>
      </c>
      <c r="I59">
        <v>0.892539356605065</v>
      </c>
      <c r="J59">
        <v>0.89236824093086931</v>
      </c>
      <c r="K59">
        <v>1.0761257825824849E-2</v>
      </c>
      <c r="L59">
        <v>0.8928815879534564</v>
      </c>
      <c r="M59">
        <v>5.9276208335689803E-4</v>
      </c>
    </row>
    <row r="60" spans="1:13" x14ac:dyDescent="0.2">
      <c r="A60" s="1" t="s">
        <v>139</v>
      </c>
      <c r="B60">
        <v>0.31416837782340862</v>
      </c>
      <c r="C60">
        <v>0.34086242299794661</v>
      </c>
      <c r="D60">
        <v>0.32238193018480488</v>
      </c>
      <c r="E60">
        <v>0.32511978097193711</v>
      </c>
      <c r="F60">
        <v>0.36208076659822042</v>
      </c>
      <c r="G60">
        <v>0.33333333333333331</v>
      </c>
      <c r="H60">
        <v>0.31622176591375772</v>
      </c>
      <c r="I60">
        <v>0.31279945242984258</v>
      </c>
      <c r="J60">
        <v>0.32871321013004801</v>
      </c>
      <c r="K60">
        <v>1.9500431122405119E-2</v>
      </c>
      <c r="L60">
        <v>0.32802874743326488</v>
      </c>
      <c r="M60">
        <v>1.0407153456218321E-2</v>
      </c>
    </row>
    <row r="61" spans="1:13" x14ac:dyDescent="0.2">
      <c r="A61" s="1" t="s">
        <v>140</v>
      </c>
      <c r="B61">
        <v>8.1451060917180018E-2</v>
      </c>
      <c r="C61">
        <v>6.1601642710472283E-2</v>
      </c>
      <c r="D61">
        <v>6.7761806981519512E-2</v>
      </c>
      <c r="E61">
        <v>7.0499657768651608E-2</v>
      </c>
      <c r="F61">
        <v>5.4072553045859E-2</v>
      </c>
      <c r="G61">
        <v>7.665982203969883E-2</v>
      </c>
      <c r="H61">
        <v>5.9548254620123198E-2</v>
      </c>
      <c r="I61">
        <v>6.7077344284736481E-2</v>
      </c>
      <c r="J61">
        <v>6.5708418891170434E-2</v>
      </c>
      <c r="K61">
        <v>1.0312470344503329E-2</v>
      </c>
      <c r="L61">
        <v>6.8959616700889806E-2</v>
      </c>
      <c r="M61">
        <v>5.4623168033923206E-3</v>
      </c>
    </row>
    <row r="62" spans="1:13" x14ac:dyDescent="0.2">
      <c r="A62" s="1" t="s">
        <v>141</v>
      </c>
      <c r="B62">
        <v>6.4339493497604386E-2</v>
      </c>
      <c r="C62">
        <v>7.1868583162217656E-2</v>
      </c>
      <c r="D62">
        <v>6.9815195071868577E-2</v>
      </c>
      <c r="E62">
        <v>7.4606433949349765E-2</v>
      </c>
      <c r="F62">
        <v>7.0499657768651608E-2</v>
      </c>
      <c r="G62">
        <v>6.3655030800821355E-2</v>
      </c>
      <c r="H62">
        <v>7.2553045859000687E-2</v>
      </c>
      <c r="I62">
        <v>5.7494866529774133E-2</v>
      </c>
      <c r="J62">
        <v>6.9301848049281314E-2</v>
      </c>
      <c r="K62">
        <v>3.0370019420429221E-3</v>
      </c>
      <c r="L62">
        <v>6.6906228610540727E-2</v>
      </c>
      <c r="M62">
        <v>6.7650230666566726E-3</v>
      </c>
    </row>
    <row r="63" spans="1:13" x14ac:dyDescent="0.2">
      <c r="A63" s="1" t="s">
        <v>142</v>
      </c>
      <c r="B63">
        <v>1.0266940451745379E-2</v>
      </c>
      <c r="C63">
        <v>1.095140314852841E-2</v>
      </c>
      <c r="D63">
        <v>1.9849418206707731E-2</v>
      </c>
      <c r="E63">
        <v>1.232032854209446E-2</v>
      </c>
      <c r="F63">
        <v>1.5742642026009581E-2</v>
      </c>
      <c r="G63">
        <v>1.437371663244353E-2</v>
      </c>
      <c r="H63">
        <v>1.1635865845311431E-2</v>
      </c>
      <c r="I63">
        <v>1.779603011635866E-2</v>
      </c>
      <c r="J63">
        <v>1.437371663244353E-2</v>
      </c>
      <c r="K63">
        <v>3.748956587988816E-3</v>
      </c>
      <c r="L63">
        <v>1.386036960985626E-2</v>
      </c>
      <c r="M63">
        <v>2.5781175861258332E-3</v>
      </c>
    </row>
    <row r="64" spans="1:13" x14ac:dyDescent="0.2">
      <c r="A64" s="1" t="s">
        <v>143</v>
      </c>
      <c r="B64">
        <v>160.79329226557149</v>
      </c>
      <c r="C64">
        <v>158.84873374401101</v>
      </c>
      <c r="D64">
        <v>160.97741273100621</v>
      </c>
      <c r="E64">
        <v>160.82340862423001</v>
      </c>
      <c r="F64">
        <v>158.71115674195761</v>
      </c>
      <c r="G64">
        <v>160.27036276522929</v>
      </c>
      <c r="H64">
        <v>160.5893223819302</v>
      </c>
      <c r="I64">
        <v>159.7741273100616</v>
      </c>
      <c r="J64">
        <v>160.26779603011639</v>
      </c>
      <c r="K64">
        <v>0.90914894599420903</v>
      </c>
      <c r="L64">
        <v>159.92915811088301</v>
      </c>
      <c r="M64">
        <v>0.72585397265963514</v>
      </c>
    </row>
    <row r="67" spans="1:13" x14ac:dyDescent="0.2">
      <c r="A67" s="2" t="s">
        <v>315</v>
      </c>
      <c r="B67">
        <f>B40/B46</f>
        <v>37.195030661758288</v>
      </c>
      <c r="C67">
        <f t="shared" ref="C67:M67" si="0">C40/C46</f>
        <v>36.894010893305158</v>
      </c>
      <c r="D67">
        <f t="shared" si="0"/>
        <v>37.067049764848306</v>
      </c>
      <c r="E67">
        <f t="shared" si="0"/>
        <v>37.094485283731295</v>
      </c>
      <c r="F67">
        <f t="shared" si="0"/>
        <v>36.862442642112477</v>
      </c>
      <c r="G67">
        <f t="shared" si="0"/>
        <v>37.114535206269139</v>
      </c>
      <c r="H67">
        <f t="shared" si="0"/>
        <v>37.100993433394443</v>
      </c>
      <c r="I67">
        <f t="shared" si="0"/>
        <v>37.097441590260438</v>
      </c>
      <c r="J67">
        <f t="shared" si="0"/>
        <v>37.056339510508245</v>
      </c>
      <c r="K67">
        <f t="shared" si="0"/>
        <v>182.78541207022516</v>
      </c>
      <c r="L67">
        <f t="shared" si="0"/>
        <v>37.050033776574438</v>
      </c>
      <c r="M67">
        <f t="shared" si="0"/>
        <v>53.45340433673865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9"/>
  <sheetViews>
    <sheetView workbookViewId="0"/>
  </sheetViews>
  <sheetFormatPr baseColWidth="10" defaultColWidth="8.83203125" defaultRowHeight="15" x14ac:dyDescent="0.2"/>
  <cols>
    <col min="1" max="1" width="60" customWidth="1"/>
    <col min="2" max="4" width="21" customWidth="1"/>
    <col min="5" max="5" width="22" customWidth="1"/>
    <col min="6" max="6" width="21" customWidth="1"/>
    <col min="7" max="10" width="22" customWidth="1"/>
    <col min="11" max="11" width="24" customWidth="1"/>
    <col min="12" max="12" width="22" customWidth="1"/>
    <col min="13" max="13" width="24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144</v>
      </c>
      <c r="B2">
        <v>15.055881700570501</v>
      </c>
      <c r="C2">
        <v>14.8192767656275</v>
      </c>
      <c r="D2">
        <v>14.88708868743187</v>
      </c>
      <c r="E2">
        <v>15.06315728609925</v>
      </c>
      <c r="F2">
        <v>14.784535018082281</v>
      </c>
      <c r="G2">
        <v>15.003581735306311</v>
      </c>
      <c r="H2">
        <v>14.969555992160631</v>
      </c>
      <c r="I2">
        <v>14.955526541139291</v>
      </c>
      <c r="J2">
        <v>14.92426534956132</v>
      </c>
      <c r="K2">
        <v>0.10035035613085611</v>
      </c>
      <c r="L2">
        <v>14.960385582043081</v>
      </c>
      <c r="M2">
        <v>8.9948928787479523E-2</v>
      </c>
    </row>
    <row r="3" spans="1:13" x14ac:dyDescent="0.2">
      <c r="A3" s="1" t="s">
        <v>145</v>
      </c>
      <c r="B3">
        <v>8.4017234190088992</v>
      </c>
      <c r="C3">
        <v>10.848273791737229</v>
      </c>
      <c r="D3">
        <v>8.3997139435753123</v>
      </c>
      <c r="E3">
        <v>10.844456006358159</v>
      </c>
      <c r="F3">
        <v>8.3574044360073572</v>
      </c>
      <c r="G3">
        <v>10.94838128944337</v>
      </c>
      <c r="H3">
        <v>8.4101970744349028</v>
      </c>
      <c r="I3">
        <v>10.98529486350272</v>
      </c>
      <c r="J3">
        <v>8.3922597182566179</v>
      </c>
      <c r="K3">
        <v>2.050467357928968E-2</v>
      </c>
      <c r="L3">
        <v>10.906601487760369</v>
      </c>
      <c r="M3">
        <v>6.1648966326449568E-2</v>
      </c>
    </row>
    <row r="4" spans="1:13" x14ac:dyDescent="0.2">
      <c r="A4" s="1" t="s">
        <v>146</v>
      </c>
      <c r="B4">
        <v>1.083613142402464</v>
      </c>
      <c r="C4">
        <v>1.0865313535934289</v>
      </c>
      <c r="D4">
        <v>1.1251617722279259</v>
      </c>
      <c r="E4">
        <v>1.099017470328542</v>
      </c>
      <c r="F4">
        <v>1.0950467895277209</v>
      </c>
      <c r="G4">
        <v>1.0966254939425051</v>
      </c>
      <c r="H4">
        <v>1.076676410882957</v>
      </c>
      <c r="I4">
        <v>1.03936157926078</v>
      </c>
      <c r="J4">
        <v>1.0951245287602669</v>
      </c>
      <c r="K4">
        <v>1.8541083487875261E-2</v>
      </c>
      <c r="L4">
        <v>1.0803839742813139</v>
      </c>
      <c r="M4">
        <v>2.4143432344400959E-2</v>
      </c>
    </row>
    <row r="5" spans="1:13" x14ac:dyDescent="0.2">
      <c r="A5" s="1" t="s">
        <v>147</v>
      </c>
      <c r="B5">
        <v>49.081751795440468</v>
      </c>
      <c r="C5">
        <v>49.82985107051752</v>
      </c>
      <c r="D5">
        <v>51.068900071673532</v>
      </c>
      <c r="E5">
        <v>50.830572023364539</v>
      </c>
      <c r="F5">
        <v>50.395779902338433</v>
      </c>
      <c r="G5">
        <v>49.298276914865511</v>
      </c>
      <c r="H5">
        <v>49.017678439327952</v>
      </c>
      <c r="I5">
        <v>47.117230665459438</v>
      </c>
      <c r="J5">
        <v>49.891027552195098</v>
      </c>
      <c r="K5">
        <v>0.87461770656302684</v>
      </c>
      <c r="L5">
        <v>49.26898266855175</v>
      </c>
      <c r="M5">
        <v>1.3586785411813871</v>
      </c>
    </row>
    <row r="6" spans="1:13" x14ac:dyDescent="0.2">
      <c r="A6" s="1" t="s">
        <v>148</v>
      </c>
      <c r="B6">
        <v>58.812063933062298</v>
      </c>
      <c r="C6">
        <v>75.937916542160636</v>
      </c>
      <c r="D6">
        <v>58.797997605027177</v>
      </c>
      <c r="E6">
        <v>75.911192044507104</v>
      </c>
      <c r="F6">
        <v>58.5018310520515</v>
      </c>
      <c r="G6">
        <v>76.638669026103614</v>
      </c>
      <c r="H6">
        <v>58.871379521044332</v>
      </c>
      <c r="I6">
        <v>76.89706404451907</v>
      </c>
      <c r="J6">
        <v>58.745818027796332</v>
      </c>
      <c r="K6">
        <v>0.14353271505502921</v>
      </c>
      <c r="L6">
        <v>76.346210414322613</v>
      </c>
      <c r="M6">
        <v>0.43154276428514271</v>
      </c>
    </row>
    <row r="7" spans="1:13" x14ac:dyDescent="0.2">
      <c r="A7" s="1" t="s">
        <v>149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s="1" t="s">
        <v>150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151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152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s="1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s="1" t="s">
        <v>154</v>
      </c>
      <c r="B12">
        <v>120.4123059548255</v>
      </c>
      <c r="C12">
        <v>118.2291252566735</v>
      </c>
      <c r="D12">
        <v>119.1756960985626</v>
      </c>
      <c r="E12">
        <v>120.1914394250513</v>
      </c>
      <c r="F12">
        <v>118.2861622176591</v>
      </c>
      <c r="G12">
        <v>119.77276386036959</v>
      </c>
      <c r="H12">
        <v>119.89533264887061</v>
      </c>
      <c r="I12">
        <v>119.8880513347023</v>
      </c>
      <c r="J12">
        <v>119.44237422997951</v>
      </c>
      <c r="K12">
        <v>0.7990435412599507</v>
      </c>
      <c r="L12">
        <v>119.5203449691992</v>
      </c>
      <c r="M12">
        <v>0.76100909694654251</v>
      </c>
    </row>
    <row r="13" spans="1:13" x14ac:dyDescent="0.2">
      <c r="A13" s="1" t="s">
        <v>155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s="1" t="s">
        <v>156</v>
      </c>
      <c r="B14">
        <v>55.899862422997941</v>
      </c>
      <c r="C14">
        <v>56.045488706365497</v>
      </c>
      <c r="D14">
        <v>58.046636550308008</v>
      </c>
      <c r="E14">
        <v>56.703234086242297</v>
      </c>
      <c r="F14">
        <v>56.498143737166323</v>
      </c>
      <c r="G14">
        <v>56.581878850102669</v>
      </c>
      <c r="H14">
        <v>55.545505133470229</v>
      </c>
      <c r="I14">
        <v>53.631733059548253</v>
      </c>
      <c r="J14">
        <v>56.497536960985627</v>
      </c>
      <c r="K14">
        <v>0.95698607092491239</v>
      </c>
      <c r="L14">
        <v>55.740583675564679</v>
      </c>
      <c r="M14">
        <v>1.2424463149729259</v>
      </c>
    </row>
    <row r="15" spans="1:13" x14ac:dyDescent="0.2">
      <c r="A15" s="1" t="s">
        <v>157</v>
      </c>
      <c r="B15">
        <v>550.81564065708426</v>
      </c>
      <c r="C15">
        <v>557.59697125256673</v>
      </c>
      <c r="D15">
        <v>573.02728952772077</v>
      </c>
      <c r="E15">
        <v>567.74105544147847</v>
      </c>
      <c r="F15">
        <v>565.46928542094463</v>
      </c>
      <c r="G15">
        <v>554.1419876796715</v>
      </c>
      <c r="H15">
        <v>549.20161601642712</v>
      </c>
      <c r="I15">
        <v>529.6913347022587</v>
      </c>
      <c r="J15">
        <v>559.62845790554422</v>
      </c>
      <c r="K15">
        <v>10.00035917529337</v>
      </c>
      <c r="L15">
        <v>552.29283726899394</v>
      </c>
      <c r="M15">
        <v>13.973444077390351</v>
      </c>
    </row>
    <row r="16" spans="1:13" x14ac:dyDescent="0.2">
      <c r="A16" s="1" t="s">
        <v>158</v>
      </c>
      <c r="B16">
        <v>972.43121149897331</v>
      </c>
      <c r="C16">
        <v>973.65862422997941</v>
      </c>
      <c r="D16">
        <v>972.976386036961</v>
      </c>
      <c r="E16">
        <v>970.53696098562625</v>
      </c>
      <c r="F16">
        <v>973.05954825462015</v>
      </c>
      <c r="G16">
        <v>971.83829568788497</v>
      </c>
      <c r="H16">
        <v>971.57802874743322</v>
      </c>
      <c r="I16">
        <v>972.12320328542091</v>
      </c>
      <c r="J16">
        <v>972.51129363449684</v>
      </c>
      <c r="K16">
        <v>0.59040040844589559</v>
      </c>
      <c r="L16">
        <v>972.03927104722788</v>
      </c>
      <c r="M16">
        <v>1.109805835196872</v>
      </c>
    </row>
    <row r="17" spans="1:13" x14ac:dyDescent="0.2">
      <c r="A17" s="1" t="s">
        <v>159</v>
      </c>
      <c r="B17">
        <v>359.11534298833959</v>
      </c>
      <c r="C17">
        <v>350.17761699596991</v>
      </c>
      <c r="D17">
        <v>354.84447303851192</v>
      </c>
      <c r="E17">
        <v>356.13184296202911</v>
      </c>
      <c r="F17">
        <v>351.92915272577062</v>
      </c>
      <c r="G17">
        <v>354.75902946918319</v>
      </c>
      <c r="H17">
        <v>356.6034010777114</v>
      </c>
      <c r="I17">
        <v>354.17033369192518</v>
      </c>
      <c r="J17">
        <v>355.62309245758343</v>
      </c>
      <c r="K17">
        <v>2.6176448241828592</v>
      </c>
      <c r="L17">
        <v>353.80970577977678</v>
      </c>
      <c r="M17">
        <v>2.2144783801690018</v>
      </c>
    </row>
    <row r="18" spans="1:13" x14ac:dyDescent="0.2">
      <c r="A18" s="1" t="s">
        <v>160</v>
      </c>
      <c r="B18">
        <v>462.59530643071702</v>
      </c>
      <c r="C18">
        <v>381.98068936572719</v>
      </c>
      <c r="D18">
        <v>461.54232655024629</v>
      </c>
      <c r="E18">
        <v>382.34335494980371</v>
      </c>
      <c r="F18">
        <v>459.95413437261442</v>
      </c>
      <c r="G18">
        <v>382.59808674151009</v>
      </c>
      <c r="H18">
        <v>460.1672448715708</v>
      </c>
      <c r="I18">
        <v>382.40987942138099</v>
      </c>
      <c r="J18">
        <v>461.06475305628709</v>
      </c>
      <c r="K18">
        <v>1.0735065062992051</v>
      </c>
      <c r="L18">
        <v>382.33300261960551</v>
      </c>
      <c r="M18">
        <v>0.2238366781472827</v>
      </c>
    </row>
    <row r="19" spans="1:13" x14ac:dyDescent="0.2">
      <c r="A19" s="1" t="s">
        <v>161</v>
      </c>
      <c r="B19">
        <v>4.1832678553568146</v>
      </c>
      <c r="C19">
        <v>4.19311791755106</v>
      </c>
      <c r="D19">
        <v>4.3405305303996524</v>
      </c>
      <c r="E19">
        <v>4.2388484315628796</v>
      </c>
      <c r="F19">
        <v>4.2249475438502913</v>
      </c>
      <c r="G19">
        <v>4.2271994180831749</v>
      </c>
      <c r="H19">
        <v>4.1527105780950384</v>
      </c>
      <c r="I19">
        <v>4.0045554221608333</v>
      </c>
      <c r="J19">
        <v>4.2253641269254487</v>
      </c>
      <c r="K19">
        <v>7.1263785102032101E-2</v>
      </c>
      <c r="L19">
        <v>4.1659302973394867</v>
      </c>
      <c r="M19">
        <v>9.4673090800686491E-2</v>
      </c>
    </row>
    <row r="20" spans="1:13" x14ac:dyDescent="0.2">
      <c r="A20" s="1" t="s">
        <v>162</v>
      </c>
      <c r="B20">
        <v>707.20472023275045</v>
      </c>
      <c r="C20">
        <v>719.2798924360593</v>
      </c>
      <c r="D20">
        <v>734.96854233371334</v>
      </c>
      <c r="E20">
        <v>734.31402367532053</v>
      </c>
      <c r="F20">
        <v>725.38115987675371</v>
      </c>
      <c r="G20">
        <v>708.90159683261027</v>
      </c>
      <c r="H20">
        <v>706.14066103851042</v>
      </c>
      <c r="I20">
        <v>677.69020358591695</v>
      </c>
      <c r="J20">
        <v>718.42377087043201</v>
      </c>
      <c r="K20">
        <v>12.23597777980377</v>
      </c>
      <c r="L20">
        <v>710.04642913247676</v>
      </c>
      <c r="M20">
        <v>20.750957580851139</v>
      </c>
    </row>
    <row r="21" spans="1:13" x14ac:dyDescent="0.2">
      <c r="A21" s="1" t="s">
        <v>163</v>
      </c>
      <c r="B21">
        <v>3238.1671450150188</v>
      </c>
      <c r="C21">
        <v>2673.864825560091</v>
      </c>
      <c r="D21">
        <v>3230.796285851724</v>
      </c>
      <c r="E21">
        <v>2676.4034846486261</v>
      </c>
      <c r="F21">
        <v>3219.6789406083012</v>
      </c>
      <c r="G21">
        <v>2678.1866071905711</v>
      </c>
      <c r="H21">
        <v>3221.1707141009961</v>
      </c>
      <c r="I21">
        <v>2676.8691559496669</v>
      </c>
      <c r="J21">
        <v>3227.4532713940098</v>
      </c>
      <c r="K21">
        <v>7.5145455440943358</v>
      </c>
      <c r="L21">
        <v>2676.3310183372391</v>
      </c>
      <c r="M21">
        <v>1.566856747030571</v>
      </c>
    </row>
    <row r="22" spans="1:13" x14ac:dyDescent="0.2">
      <c r="A22" s="1" t="s">
        <v>164</v>
      </c>
      <c r="B22">
        <v>2334.2503487146</v>
      </c>
      <c r="C22">
        <v>2293.453532015405</v>
      </c>
      <c r="D22">
        <v>2314.271820370735</v>
      </c>
      <c r="E22">
        <v>2324.7822536473882</v>
      </c>
      <c r="F22">
        <v>2305.5770298184152</v>
      </c>
      <c r="G22">
        <v>2314.1735306165092</v>
      </c>
      <c r="H22">
        <v>2329.6549922117611</v>
      </c>
      <c r="I22">
        <v>2301.0088666844049</v>
      </c>
      <c r="J22">
        <v>2320.9385477788769</v>
      </c>
      <c r="K22">
        <v>11.54991272789476</v>
      </c>
      <c r="L22">
        <v>2308.3545457409268</v>
      </c>
      <c r="M22">
        <v>12.038785060086751</v>
      </c>
    </row>
    <row r="23" spans="1:13" x14ac:dyDescent="0.2">
      <c r="A23" s="1" t="s">
        <v>165</v>
      </c>
      <c r="B23">
        <v>4234.6984359980006</v>
      </c>
      <c r="C23">
        <v>3623.349483895181</v>
      </c>
      <c r="D23">
        <v>4225.7209158206088</v>
      </c>
      <c r="E23">
        <v>3626.2303483771898</v>
      </c>
      <c r="F23">
        <v>4210.6135828722072</v>
      </c>
      <c r="G23">
        <v>3632.500409780715</v>
      </c>
      <c r="H23">
        <v>4213.5207700821338</v>
      </c>
      <c r="I23">
        <v>3632.0249449716712</v>
      </c>
      <c r="J23">
        <v>4221.138426193238</v>
      </c>
      <c r="K23">
        <v>9.6653257659727672</v>
      </c>
      <c r="L23">
        <v>3628.5262967561889</v>
      </c>
      <c r="M23">
        <v>3.876366985475435</v>
      </c>
    </row>
    <row r="24" spans="1:13" x14ac:dyDescent="0.2">
      <c r="A24" s="1" t="s">
        <v>166</v>
      </c>
      <c r="B24">
        <v>383.0388843258043</v>
      </c>
      <c r="C24">
        <v>384.06496235455182</v>
      </c>
      <c r="D24">
        <v>397.72942505133477</v>
      </c>
      <c r="E24">
        <v>388.49373716632448</v>
      </c>
      <c r="F24">
        <v>387.0898836413416</v>
      </c>
      <c r="G24">
        <v>387.65047912388781</v>
      </c>
      <c r="H24">
        <v>380.59073921971259</v>
      </c>
      <c r="I24">
        <v>367.41299110198503</v>
      </c>
      <c r="J24">
        <v>387.11223305954832</v>
      </c>
      <c r="K24">
        <v>6.5545273875516594</v>
      </c>
      <c r="L24">
        <v>381.90554243668731</v>
      </c>
      <c r="M24">
        <v>8.5309106475541618</v>
      </c>
    </row>
    <row r="25" spans="1:13" x14ac:dyDescent="0.2">
      <c r="A25" s="1" t="s">
        <v>167</v>
      </c>
      <c r="B25">
        <v>12587.27603211351</v>
      </c>
      <c r="C25">
        <v>12776.864948511789</v>
      </c>
      <c r="D25">
        <v>13100.25257542532</v>
      </c>
      <c r="E25">
        <v>13032.93339269924</v>
      </c>
      <c r="F25">
        <v>12927.22444326294</v>
      </c>
      <c r="G25">
        <v>12646.66164597739</v>
      </c>
      <c r="H25">
        <v>12572.791192545101</v>
      </c>
      <c r="I25">
        <v>12086.464086980919</v>
      </c>
      <c r="J25">
        <v>12796.886060836719</v>
      </c>
      <c r="K25">
        <v>225.37424999492549</v>
      </c>
      <c r="L25">
        <v>12635.731018542339</v>
      </c>
      <c r="M25">
        <v>346.23046982736969</v>
      </c>
    </row>
    <row r="26" spans="1:13" x14ac:dyDescent="0.2">
      <c r="A26" s="1" t="s">
        <v>168</v>
      </c>
      <c r="B26">
        <v>30723.368175873751</v>
      </c>
      <c r="C26">
        <v>26445.289303077348</v>
      </c>
      <c r="D26">
        <v>30661.131284118659</v>
      </c>
      <c r="E26">
        <v>26461.986839735469</v>
      </c>
      <c r="F26">
        <v>30555.472355943919</v>
      </c>
      <c r="G26">
        <v>26507.323197007099</v>
      </c>
      <c r="H26">
        <v>30574.17653362764</v>
      </c>
      <c r="I26">
        <v>26504.311507341041</v>
      </c>
      <c r="J26">
        <v>30628.537087390989</v>
      </c>
      <c r="K26">
        <v>67.728948371502511</v>
      </c>
      <c r="L26">
        <v>26479.727711790241</v>
      </c>
      <c r="M26">
        <v>26.77039570111533</v>
      </c>
    </row>
    <row r="27" spans="1:13" x14ac:dyDescent="0.2">
      <c r="A27" s="1" t="s">
        <v>169</v>
      </c>
      <c r="B27">
        <v>0.24</v>
      </c>
      <c r="C27">
        <v>0.24</v>
      </c>
      <c r="D27">
        <v>0.24</v>
      </c>
      <c r="E27">
        <v>0.24</v>
      </c>
      <c r="F27">
        <v>0.24</v>
      </c>
      <c r="G27">
        <v>0.24</v>
      </c>
      <c r="H27">
        <v>0.24</v>
      </c>
      <c r="I27">
        <v>0.24</v>
      </c>
      <c r="J27">
        <v>0.24</v>
      </c>
      <c r="K27">
        <v>3.1031676915590908E-17</v>
      </c>
      <c r="L27">
        <v>0.24</v>
      </c>
      <c r="M27">
        <v>3.1031676915590908E-17</v>
      </c>
    </row>
    <row r="28" spans="1:13" x14ac:dyDescent="0.2">
      <c r="A28" s="1" t="s">
        <v>170</v>
      </c>
      <c r="B28">
        <v>0.24</v>
      </c>
      <c r="C28">
        <v>0.24</v>
      </c>
      <c r="D28">
        <v>0.24</v>
      </c>
      <c r="E28">
        <v>0.24</v>
      </c>
      <c r="F28">
        <v>0.24</v>
      </c>
      <c r="G28">
        <v>0.24</v>
      </c>
      <c r="H28">
        <v>0.24</v>
      </c>
      <c r="I28">
        <v>0.24</v>
      </c>
      <c r="J28">
        <v>0.24</v>
      </c>
      <c r="K28">
        <v>3.1031676915590908E-17</v>
      </c>
      <c r="L28">
        <v>0.24</v>
      </c>
      <c r="M28">
        <v>3.1031676915590908E-17</v>
      </c>
    </row>
    <row r="29" spans="1:13" x14ac:dyDescent="0.2">
      <c r="A29" s="1" t="s">
        <v>171</v>
      </c>
      <c r="B29">
        <v>0.17</v>
      </c>
      <c r="C29">
        <v>0.17</v>
      </c>
      <c r="D29">
        <v>0.17</v>
      </c>
      <c r="E29">
        <v>0.17</v>
      </c>
      <c r="F29">
        <v>0.17</v>
      </c>
      <c r="G29">
        <v>0.17</v>
      </c>
      <c r="H29">
        <v>0.17</v>
      </c>
      <c r="I29">
        <v>0.17</v>
      </c>
      <c r="J29">
        <v>0.17</v>
      </c>
      <c r="K29">
        <v>0</v>
      </c>
      <c r="L29">
        <v>0.17</v>
      </c>
      <c r="M29">
        <v>0</v>
      </c>
    </row>
    <row r="30" spans="1:13" x14ac:dyDescent="0.2">
      <c r="A30" s="1" t="s">
        <v>172</v>
      </c>
      <c r="B30">
        <v>0.17</v>
      </c>
      <c r="C30">
        <v>0.17</v>
      </c>
      <c r="D30">
        <v>0.17</v>
      </c>
      <c r="E30">
        <v>0.17</v>
      </c>
      <c r="F30">
        <v>0.17</v>
      </c>
      <c r="G30">
        <v>0.17</v>
      </c>
      <c r="H30">
        <v>0.17</v>
      </c>
      <c r="I30">
        <v>0.17</v>
      </c>
      <c r="J30">
        <v>0.17</v>
      </c>
      <c r="K30">
        <v>0</v>
      </c>
      <c r="L30">
        <v>0.17</v>
      </c>
      <c r="M30">
        <v>0</v>
      </c>
    </row>
    <row r="31" spans="1:13" x14ac:dyDescent="0.2">
      <c r="A31" s="1" t="s">
        <v>173</v>
      </c>
      <c r="B31">
        <v>0.24</v>
      </c>
      <c r="C31">
        <v>0.24</v>
      </c>
      <c r="D31">
        <v>0.24</v>
      </c>
      <c r="E31">
        <v>0.24</v>
      </c>
      <c r="F31">
        <v>0.24</v>
      </c>
      <c r="G31">
        <v>0.24</v>
      </c>
      <c r="H31">
        <v>0.24</v>
      </c>
      <c r="I31">
        <v>0.24</v>
      </c>
      <c r="J31">
        <v>0.24</v>
      </c>
      <c r="K31">
        <v>3.1031676915590908E-17</v>
      </c>
      <c r="L31">
        <v>0.24</v>
      </c>
      <c r="M31">
        <v>3.1031676915590908E-17</v>
      </c>
    </row>
    <row r="32" spans="1:13" x14ac:dyDescent="0.2">
      <c r="A32" s="1" t="s">
        <v>174</v>
      </c>
      <c r="B32">
        <v>23.948329977779871</v>
      </c>
      <c r="C32">
        <v>23.506349638463561</v>
      </c>
      <c r="D32">
        <v>23.679699914779739</v>
      </c>
      <c r="E32">
        <v>23.892546058490741</v>
      </c>
      <c r="F32">
        <v>23.5137560938417</v>
      </c>
      <c r="G32">
        <v>23.79788710031276</v>
      </c>
      <c r="H32">
        <v>23.808980842980201</v>
      </c>
      <c r="I32">
        <v>23.71882664262813</v>
      </c>
      <c r="J32">
        <v>23.73769170734538</v>
      </c>
      <c r="K32">
        <v>0.16043754924536749</v>
      </c>
      <c r="L32">
        <v>23.728902359973802</v>
      </c>
      <c r="M32">
        <v>0.14245120953819521</v>
      </c>
    </row>
    <row r="33" spans="1:13" x14ac:dyDescent="0.2">
      <c r="A33" s="1" t="s">
        <v>175</v>
      </c>
      <c r="B33">
        <v>22.560757560511671</v>
      </c>
      <c r="C33">
        <v>23.027106737631559</v>
      </c>
      <c r="D33">
        <v>22.525768843980799</v>
      </c>
      <c r="E33">
        <v>23.032286205394879</v>
      </c>
      <c r="F33">
        <v>22.432444460562088</v>
      </c>
      <c r="G33">
        <v>23.151439595175251</v>
      </c>
      <c r="H33">
        <v>22.493490912921789</v>
      </c>
      <c r="I33">
        <v>23.18326358893049</v>
      </c>
      <c r="J33">
        <v>22.503115444494089</v>
      </c>
      <c r="K33">
        <v>4.7230312367142459E-2</v>
      </c>
      <c r="L33">
        <v>23.09852403178304</v>
      </c>
      <c r="M33">
        <v>6.9765193583920637E-2</v>
      </c>
    </row>
    <row r="34" spans="1:13" x14ac:dyDescent="0.2">
      <c r="A34" s="1" t="s">
        <v>176</v>
      </c>
      <c r="B34">
        <v>2.4080292053388099</v>
      </c>
      <c r="C34">
        <v>2.41451411909651</v>
      </c>
      <c r="D34">
        <v>2.500359493839837</v>
      </c>
      <c r="E34">
        <v>2.442261045174539</v>
      </c>
      <c r="F34">
        <v>2.4334373100616018</v>
      </c>
      <c r="G34">
        <v>2.436945542094457</v>
      </c>
      <c r="H34">
        <v>2.3926142464065712</v>
      </c>
      <c r="I34">
        <v>2.3096923983572899</v>
      </c>
      <c r="J34">
        <v>2.4336100639117051</v>
      </c>
      <c r="K34">
        <v>4.1202407750834093E-2</v>
      </c>
      <c r="L34">
        <v>2.4008532761806989</v>
      </c>
      <c r="M34">
        <v>5.3652071876446383E-2</v>
      </c>
    </row>
    <row r="35" spans="1:13" x14ac:dyDescent="0.2">
      <c r="A35" s="1" t="s">
        <v>177</v>
      </c>
      <c r="B35">
        <v>76.70152141120596</v>
      </c>
      <c r="C35">
        <v>77.878363625858938</v>
      </c>
      <c r="D35">
        <v>79.807103965230482</v>
      </c>
      <c r="E35">
        <v>79.44737426725537</v>
      </c>
      <c r="F35">
        <v>78.755272658009744</v>
      </c>
      <c r="G35">
        <v>77.035345380899926</v>
      </c>
      <c r="H35">
        <v>76.605595479241714</v>
      </c>
      <c r="I35">
        <v>73.626758845833137</v>
      </c>
      <c r="J35">
        <v>77.967373378421968</v>
      </c>
      <c r="K35">
        <v>1.3658526784040581</v>
      </c>
      <c r="L35">
        <v>76.996960529961839</v>
      </c>
      <c r="M35">
        <v>2.1296203705038201</v>
      </c>
    </row>
    <row r="36" spans="1:13" x14ac:dyDescent="0.2">
      <c r="A36" s="1" t="s">
        <v>178</v>
      </c>
      <c r="B36">
        <v>157.92530292358171</v>
      </c>
      <c r="C36">
        <v>161.18974716342089</v>
      </c>
      <c r="D36">
        <v>157.68038190786561</v>
      </c>
      <c r="E36">
        <v>161.22600343776409</v>
      </c>
      <c r="F36">
        <v>157.02711122393461</v>
      </c>
      <c r="G36">
        <v>162.06007716622679</v>
      </c>
      <c r="H36">
        <v>157.45443639045251</v>
      </c>
      <c r="I36">
        <v>162.28284512251341</v>
      </c>
      <c r="J36">
        <v>157.5218081114586</v>
      </c>
      <c r="K36">
        <v>0.33061218656999108</v>
      </c>
      <c r="L36">
        <v>161.68966822248129</v>
      </c>
      <c r="M36">
        <v>0.48835635508745351</v>
      </c>
    </row>
    <row r="37" spans="1:13" x14ac:dyDescent="0.2">
      <c r="A37" s="1" t="s">
        <v>179</v>
      </c>
      <c r="B37">
        <v>44.195005300578757</v>
      </c>
      <c r="C37">
        <v>43.068423890451363</v>
      </c>
      <c r="D37">
        <v>43.661919864281188</v>
      </c>
      <c r="E37">
        <v>43.822094879985727</v>
      </c>
      <c r="F37">
        <v>43.277005293160023</v>
      </c>
      <c r="G37">
        <v>43.662172630667847</v>
      </c>
      <c r="H37">
        <v>43.878566960221853</v>
      </c>
      <c r="I37">
        <v>43.64270458556841</v>
      </c>
      <c r="J37">
        <v>43.753124354560462</v>
      </c>
      <c r="K37">
        <v>0.33391699471765829</v>
      </c>
      <c r="L37">
        <v>43.54884899666834</v>
      </c>
      <c r="M37">
        <v>0.28597321247982599</v>
      </c>
    </row>
    <row r="38" spans="1:13" x14ac:dyDescent="0.2">
      <c r="A38" s="1" t="s">
        <v>180</v>
      </c>
      <c r="B38">
        <v>52.172594557552841</v>
      </c>
      <c r="C38">
        <v>42.585280437767572</v>
      </c>
      <c r="D38">
        <v>52.064303118616877</v>
      </c>
      <c r="E38">
        <v>42.619578572314659</v>
      </c>
      <c r="F38">
        <v>51.898243040737128</v>
      </c>
      <c r="G38">
        <v>42.657978441521728</v>
      </c>
      <c r="H38">
        <v>51.913785245635708</v>
      </c>
      <c r="I38">
        <v>42.648032095771342</v>
      </c>
      <c r="J38">
        <v>52.012231490635642</v>
      </c>
      <c r="K38">
        <v>0.1130406979107083</v>
      </c>
      <c r="L38">
        <v>42.627717386843827</v>
      </c>
      <c r="M38">
        <v>2.8264614705804821E-2</v>
      </c>
    </row>
    <row r="39" spans="1:13" x14ac:dyDescent="0.2">
      <c r="A39" s="1" t="s">
        <v>181</v>
      </c>
      <c r="B39">
        <v>0.46480753948409048</v>
      </c>
      <c r="C39">
        <v>0.46590199083900652</v>
      </c>
      <c r="D39">
        <v>0.48228117004440563</v>
      </c>
      <c r="E39">
        <v>0.47098315906254212</v>
      </c>
      <c r="F39">
        <v>0.46943861598336561</v>
      </c>
      <c r="G39">
        <v>0.46968882423146369</v>
      </c>
      <c r="H39">
        <v>0.46141228645500398</v>
      </c>
      <c r="I39">
        <v>0.44495060246231471</v>
      </c>
      <c r="J39">
        <v>0.46948490299171641</v>
      </c>
      <c r="K39">
        <v>7.9181983446702364E-3</v>
      </c>
      <c r="L39">
        <v>0.46288114414883169</v>
      </c>
      <c r="M39">
        <v>1.051923231118738E-2</v>
      </c>
    </row>
    <row r="40" spans="1:13" x14ac:dyDescent="0.2">
      <c r="A40" s="1" t="s">
        <v>182</v>
      </c>
      <c r="B40">
        <v>78.578302248083375</v>
      </c>
      <c r="C40">
        <v>79.919988048451017</v>
      </c>
      <c r="D40">
        <v>81.663171370412584</v>
      </c>
      <c r="E40">
        <v>81.590447075035584</v>
      </c>
      <c r="F40">
        <v>80.597906652972611</v>
      </c>
      <c r="G40">
        <v>78.76684409251223</v>
      </c>
      <c r="H40">
        <v>78.460073448723364</v>
      </c>
      <c r="I40">
        <v>75.298911509546315</v>
      </c>
      <c r="J40">
        <v>79.824863430047969</v>
      </c>
      <c r="K40">
        <v>1.3595530866448631</v>
      </c>
      <c r="L40">
        <v>78.894047681386297</v>
      </c>
      <c r="M40">
        <v>2.305661953427899</v>
      </c>
    </row>
    <row r="41" spans="1:13" x14ac:dyDescent="0.2">
      <c r="A41" s="1" t="s">
        <v>183</v>
      </c>
      <c r="B41">
        <v>365.2081619028699</v>
      </c>
      <c r="C41">
        <v>298.09696306437303</v>
      </c>
      <c r="D41">
        <v>364.45012183031821</v>
      </c>
      <c r="E41">
        <v>298.33705000620262</v>
      </c>
      <c r="F41">
        <v>363.28770128515981</v>
      </c>
      <c r="G41">
        <v>298.6058490906521</v>
      </c>
      <c r="H41">
        <v>363.39649671944989</v>
      </c>
      <c r="I41">
        <v>298.53622467039952</v>
      </c>
      <c r="J41">
        <v>364.08562043444942</v>
      </c>
      <c r="K41">
        <v>0.79128488537498354</v>
      </c>
      <c r="L41">
        <v>298.3940217079068</v>
      </c>
      <c r="M41">
        <v>0.1978523029406293</v>
      </c>
    </row>
    <row r="42" spans="1:13" x14ac:dyDescent="0.2">
      <c r="A42" s="1" t="s">
        <v>184</v>
      </c>
      <c r="B42">
        <v>0.71206750898150961</v>
      </c>
      <c r="C42">
        <v>0.72904735260424403</v>
      </c>
      <c r="D42">
        <v>0.71291421064657368</v>
      </c>
      <c r="E42">
        <v>0.73160896118049945</v>
      </c>
      <c r="F42">
        <v>0.70749414213976525</v>
      </c>
      <c r="G42">
        <v>0.73011663585013287</v>
      </c>
      <c r="H42">
        <v>0.71312273758295863</v>
      </c>
      <c r="I42">
        <v>0.71743039101972517</v>
      </c>
      <c r="J42">
        <v>0.71139964983770176</v>
      </c>
      <c r="K42">
        <v>2.2892112198437632E-3</v>
      </c>
      <c r="L42">
        <v>0.72705083516365043</v>
      </c>
      <c r="M42">
        <v>5.6283806297125196E-3</v>
      </c>
    </row>
    <row r="43" spans="1:13" x14ac:dyDescent="0.2">
      <c r="A43" s="1" t="s">
        <v>185</v>
      </c>
      <c r="B43">
        <v>4.0466308515718827</v>
      </c>
      <c r="C43">
        <v>4.8540795544542252</v>
      </c>
      <c r="D43">
        <v>4.037345570285316</v>
      </c>
      <c r="E43">
        <v>4.8490841932792357</v>
      </c>
      <c r="F43">
        <v>4.028308912818658</v>
      </c>
      <c r="G43">
        <v>4.86088342953337</v>
      </c>
      <c r="H43">
        <v>4.0229481547040606</v>
      </c>
      <c r="I43">
        <v>4.8526952921952464</v>
      </c>
      <c r="J43">
        <v>4.0338083723449794</v>
      </c>
      <c r="K43">
        <v>9.0154884099983689E-3</v>
      </c>
      <c r="L43">
        <v>4.8541856173655189</v>
      </c>
      <c r="M43">
        <v>4.2754395679926284E-3</v>
      </c>
    </row>
    <row r="44" spans="1:13" x14ac:dyDescent="0.2">
      <c r="A44" s="1" t="s">
        <v>186</v>
      </c>
      <c r="B44">
        <v>4.5217141556234478E-2</v>
      </c>
      <c r="C44">
        <v>4.5475673700526298E-2</v>
      </c>
      <c r="D44">
        <v>4.6885932540866933E-2</v>
      </c>
      <c r="E44">
        <v>4.5899131268703687E-2</v>
      </c>
      <c r="F44">
        <v>4.58871821665576E-2</v>
      </c>
      <c r="G44">
        <v>4.5815673155483433E-2</v>
      </c>
      <c r="H44">
        <v>4.4870835456551877E-2</v>
      </c>
      <c r="I44">
        <v>4.3397376551707167E-2</v>
      </c>
      <c r="J44">
        <v>4.5715272930052717E-2</v>
      </c>
      <c r="K44">
        <v>7.6831084565784618E-4</v>
      </c>
      <c r="L44">
        <v>4.5146963669105138E-2</v>
      </c>
      <c r="M44">
        <v>1.022501080828278E-3</v>
      </c>
    </row>
    <row r="45" spans="1:13" x14ac:dyDescent="0.2">
      <c r="A45" s="1" t="s">
        <v>187</v>
      </c>
      <c r="B45">
        <v>2.2640639476471178</v>
      </c>
      <c r="C45">
        <v>2.3068423563204679</v>
      </c>
      <c r="D45">
        <v>2.3576284488601829</v>
      </c>
      <c r="E45">
        <v>2.3636547721657988</v>
      </c>
      <c r="F45">
        <v>2.3213836742853551</v>
      </c>
      <c r="G45">
        <v>2.273680803579619</v>
      </c>
      <c r="H45">
        <v>2.2651179868480682</v>
      </c>
      <c r="I45">
        <v>2.1603232280639539</v>
      </c>
      <c r="J45">
        <v>2.3020485144101812</v>
      </c>
      <c r="K45">
        <v>3.9590619782527571E-2</v>
      </c>
      <c r="L45">
        <v>2.2761252900324598</v>
      </c>
      <c r="M45">
        <v>7.4197441792234628E-2</v>
      </c>
    </row>
    <row r="46" spans="1:13" x14ac:dyDescent="0.2">
      <c r="A46" s="1" t="s">
        <v>188</v>
      </c>
      <c r="B46">
        <v>28.326415961003178</v>
      </c>
      <c r="C46">
        <v>33.978556881179571</v>
      </c>
      <c r="D46">
        <v>28.261418991997211</v>
      </c>
      <c r="E46">
        <v>33.943589352954653</v>
      </c>
      <c r="F46">
        <v>28.198162389730609</v>
      </c>
      <c r="G46">
        <v>34.026184006733587</v>
      </c>
      <c r="H46">
        <v>28.160637082928421</v>
      </c>
      <c r="I46">
        <v>33.968867045366721</v>
      </c>
      <c r="J46">
        <v>28.236658606414849</v>
      </c>
      <c r="K46">
        <v>6.3108418869991287E-2</v>
      </c>
      <c r="L46">
        <v>33.979299321558628</v>
      </c>
      <c r="M46">
        <v>2.9928076975947859E-2</v>
      </c>
    </row>
    <row r="47" spans="1:13" x14ac:dyDescent="0.2">
      <c r="A47" s="1" t="s">
        <v>189</v>
      </c>
      <c r="B47">
        <v>18.821500882764401</v>
      </c>
      <c r="C47">
        <v>18.450588181711058</v>
      </c>
      <c r="D47">
        <v>18.609832804416371</v>
      </c>
      <c r="E47">
        <v>18.753690449792611</v>
      </c>
      <c r="F47">
        <v>18.481216602030319</v>
      </c>
      <c r="G47">
        <v>18.678417547026811</v>
      </c>
      <c r="H47">
        <v>18.710554763741872</v>
      </c>
      <c r="I47">
        <v>18.612700483122119</v>
      </c>
      <c r="J47">
        <v>18.655776263238241</v>
      </c>
      <c r="K47">
        <v>0.1255460178222097</v>
      </c>
      <c r="L47">
        <v>18.623849165413151</v>
      </c>
      <c r="M47">
        <v>0.1117811802043223</v>
      </c>
    </row>
    <row r="48" spans="1:13" x14ac:dyDescent="0.2">
      <c r="A48" s="1" t="s">
        <v>190</v>
      </c>
      <c r="B48">
        <v>15.422778374632371</v>
      </c>
      <c r="C48">
        <v>14.592205432173751</v>
      </c>
      <c r="D48">
        <v>15.402435871727651</v>
      </c>
      <c r="E48">
        <v>14.58606666302704</v>
      </c>
      <c r="F48">
        <v>15.365690807259259</v>
      </c>
      <c r="G48">
        <v>14.68732305129973</v>
      </c>
      <c r="H48">
        <v>15.36576998011294</v>
      </c>
      <c r="I48">
        <v>14.728704777517221</v>
      </c>
      <c r="J48">
        <v>15.389168758433049</v>
      </c>
      <c r="K48">
        <v>2.4517032928303151E-2</v>
      </c>
      <c r="L48">
        <v>14.64857498100443</v>
      </c>
      <c r="M48">
        <v>6.1251557311889908E-2</v>
      </c>
    </row>
    <row r="49" spans="1:13" x14ac:dyDescent="0.2">
      <c r="A49" s="1" t="s">
        <v>191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1" t="s">
        <v>192</v>
      </c>
      <c r="B50">
        <v>61.864871739267222</v>
      </c>
      <c r="C50">
        <v>62.826698473994711</v>
      </c>
      <c r="D50">
        <v>64.370812598308419</v>
      </c>
      <c r="E50">
        <v>64.100833613537162</v>
      </c>
      <c r="F50">
        <v>63.522376517625993</v>
      </c>
      <c r="G50">
        <v>62.127520023184353</v>
      </c>
      <c r="H50">
        <v>61.794679249271887</v>
      </c>
      <c r="I50">
        <v>59.378197471822887</v>
      </c>
      <c r="J50">
        <v>62.888185026118379</v>
      </c>
      <c r="K50">
        <v>1.1003758826829999</v>
      </c>
      <c r="L50">
        <v>62.108312395634783</v>
      </c>
      <c r="M50">
        <v>1.727723631802047</v>
      </c>
    </row>
    <row r="51" spans="1:13" x14ac:dyDescent="0.2">
      <c r="A51" s="1" t="s">
        <v>193</v>
      </c>
      <c r="B51">
        <v>107.95944862242661</v>
      </c>
      <c r="C51">
        <v>102.14543802521629</v>
      </c>
      <c r="D51">
        <v>107.8170511020935</v>
      </c>
      <c r="E51">
        <v>102.1024666411893</v>
      </c>
      <c r="F51">
        <v>107.5598356508148</v>
      </c>
      <c r="G51">
        <v>102.8112613590981</v>
      </c>
      <c r="H51">
        <v>107.56038986079059</v>
      </c>
      <c r="I51">
        <v>103.1009334426205</v>
      </c>
      <c r="J51">
        <v>107.72418130903139</v>
      </c>
      <c r="K51">
        <v>0.17161923049812569</v>
      </c>
      <c r="L51">
        <v>102.54002486703099</v>
      </c>
      <c r="M51">
        <v>0.42876090118322407</v>
      </c>
    </row>
    <row r="52" spans="1:13" x14ac:dyDescent="0.2">
      <c r="A52" s="1" t="s">
        <v>194</v>
      </c>
      <c r="B52">
        <v>133.79145106091721</v>
      </c>
      <c r="C52">
        <v>131.36569472963731</v>
      </c>
      <c r="D52">
        <v>132.41744010951399</v>
      </c>
      <c r="E52">
        <v>133.54604380561261</v>
      </c>
      <c r="F52">
        <v>131.42906913073239</v>
      </c>
      <c r="G52">
        <v>133.08084873374401</v>
      </c>
      <c r="H52">
        <v>133.21703627652289</v>
      </c>
      <c r="I52">
        <v>133.2089459274469</v>
      </c>
      <c r="J52">
        <v>132.7137491444216</v>
      </c>
      <c r="K52">
        <v>0.88782615695549572</v>
      </c>
      <c r="L52">
        <v>132.80038329911019</v>
      </c>
      <c r="M52">
        <v>0.84556566327392757</v>
      </c>
    </row>
    <row r="53" spans="1:13" x14ac:dyDescent="0.2">
      <c r="A53" s="1" t="s">
        <v>195</v>
      </c>
      <c r="B53">
        <v>62.1109582477755</v>
      </c>
      <c r="C53">
        <v>62.272765229294997</v>
      </c>
      <c r="D53">
        <v>64.496262833675573</v>
      </c>
      <c r="E53">
        <v>63.003593429158123</v>
      </c>
      <c r="F53">
        <v>62.775715263518137</v>
      </c>
      <c r="G53">
        <v>62.868754277891853</v>
      </c>
      <c r="H53">
        <v>61.717227926078039</v>
      </c>
      <c r="I53">
        <v>59.590814510609157</v>
      </c>
      <c r="J53">
        <v>62.775041067761812</v>
      </c>
      <c r="K53">
        <v>1.063317856583236</v>
      </c>
      <c r="L53">
        <v>61.93398186173853</v>
      </c>
      <c r="M53">
        <v>1.3804959055254771</v>
      </c>
    </row>
    <row r="54" spans="1:13" x14ac:dyDescent="0.2">
      <c r="A54" s="1" t="s">
        <v>196</v>
      </c>
      <c r="B54">
        <v>612.01737850787129</v>
      </c>
      <c r="C54">
        <v>619.5521902806297</v>
      </c>
      <c r="D54">
        <v>636.6969883641342</v>
      </c>
      <c r="E54">
        <v>630.82339493497602</v>
      </c>
      <c r="F54">
        <v>628.29920602327172</v>
      </c>
      <c r="G54">
        <v>615.71331964407943</v>
      </c>
      <c r="H54">
        <v>610.22401779603013</v>
      </c>
      <c r="I54">
        <v>588.54592744695412</v>
      </c>
      <c r="J54">
        <v>621.80939767282689</v>
      </c>
      <c r="K54">
        <v>11.11151019477043</v>
      </c>
      <c r="L54">
        <v>613.65870807665976</v>
      </c>
      <c r="M54">
        <v>15.52604897487814</v>
      </c>
    </row>
    <row r="55" spans="1:13" x14ac:dyDescent="0.2">
      <c r="A55" s="1" t="s">
        <v>197</v>
      </c>
      <c r="B55">
        <v>1080.4791238877481</v>
      </c>
      <c r="C55">
        <v>1081.842915811088</v>
      </c>
      <c r="D55">
        <v>1081.084873374401</v>
      </c>
      <c r="E55">
        <v>1078.37440109514</v>
      </c>
      <c r="F55">
        <v>1081.177275838467</v>
      </c>
      <c r="G55">
        <v>1079.820328542095</v>
      </c>
      <c r="H55">
        <v>1079.531143052704</v>
      </c>
      <c r="I55">
        <v>1080.136892539356</v>
      </c>
      <c r="J55">
        <v>1080.5681040383299</v>
      </c>
      <c r="K55">
        <v>0.65600045382875882</v>
      </c>
      <c r="L55">
        <v>1080.04363449692</v>
      </c>
      <c r="M55">
        <v>1.2331175946632</v>
      </c>
    </row>
    <row r="56" spans="1:13" x14ac:dyDescent="0.2">
      <c r="A56" s="1" t="s">
        <v>198</v>
      </c>
      <c r="B56">
        <v>1.3379145106091721</v>
      </c>
      <c r="C56">
        <v>1.3136569472963719</v>
      </c>
      <c r="D56">
        <v>1.32417440109514</v>
      </c>
      <c r="E56">
        <v>1.3354604380561259</v>
      </c>
      <c r="F56">
        <v>1.314290691307324</v>
      </c>
      <c r="G56">
        <v>1.3308084873374399</v>
      </c>
      <c r="H56">
        <v>1.332170362765229</v>
      </c>
      <c r="I56">
        <v>1.3320894592744701</v>
      </c>
      <c r="J56">
        <v>1.327137491444216</v>
      </c>
      <c r="K56">
        <v>8.8782615695549485E-3</v>
      </c>
      <c r="L56">
        <v>1.3280038329911019</v>
      </c>
      <c r="M56">
        <v>8.4556566327393442E-3</v>
      </c>
    </row>
    <row r="57" spans="1:13" x14ac:dyDescent="0.2">
      <c r="A57" s="1" t="s">
        <v>199</v>
      </c>
      <c r="B57">
        <v>0.24844383299110201</v>
      </c>
      <c r="C57">
        <v>0.24909106091718</v>
      </c>
      <c r="D57">
        <v>0.25798505133470218</v>
      </c>
      <c r="E57">
        <v>0.25201437371663238</v>
      </c>
      <c r="F57">
        <v>0.25110286105407248</v>
      </c>
      <c r="G57">
        <v>0.25147501711156739</v>
      </c>
      <c r="H57">
        <v>0.24686891170431211</v>
      </c>
      <c r="I57">
        <v>0.23836325804243669</v>
      </c>
      <c r="J57">
        <v>0.2511001642710472</v>
      </c>
      <c r="K57">
        <v>4.2532714263329397E-3</v>
      </c>
      <c r="L57">
        <v>0.24773592744695411</v>
      </c>
      <c r="M57">
        <v>5.5219836221018816E-3</v>
      </c>
    </row>
    <row r="58" spans="1:13" x14ac:dyDescent="0.2">
      <c r="A58" s="1" t="s">
        <v>200</v>
      </c>
      <c r="B58">
        <v>6.1201737850787126</v>
      </c>
      <c r="C58">
        <v>6.1955219028062967</v>
      </c>
      <c r="D58">
        <v>6.3669698836413424</v>
      </c>
      <c r="E58">
        <v>6.308233949349761</v>
      </c>
      <c r="F58">
        <v>6.2829920602327194</v>
      </c>
      <c r="G58">
        <v>6.1571331964407934</v>
      </c>
      <c r="H58">
        <v>6.1022401779603017</v>
      </c>
      <c r="I58">
        <v>5.8854592744695404</v>
      </c>
      <c r="J58">
        <v>6.2180939767282686</v>
      </c>
      <c r="K58">
        <v>0.1111151019477043</v>
      </c>
      <c r="L58">
        <v>6.1365870807665974</v>
      </c>
      <c r="M58">
        <v>0.1552604897487819</v>
      </c>
    </row>
    <row r="59" spans="1:13" x14ac:dyDescent="0.2">
      <c r="A59" s="1" t="s">
        <v>201</v>
      </c>
      <c r="B59">
        <v>2.7011978097193698</v>
      </c>
      <c r="C59">
        <v>2.7046072895277211</v>
      </c>
      <c r="D59">
        <v>2.7027121834360028</v>
      </c>
      <c r="E59">
        <v>2.6959360027378509</v>
      </c>
      <c r="F59">
        <v>2.7029431895961671</v>
      </c>
      <c r="G59">
        <v>2.6995508213552362</v>
      </c>
      <c r="H59">
        <v>2.698827857631759</v>
      </c>
      <c r="I59">
        <v>2.700342231348392</v>
      </c>
      <c r="J59">
        <v>2.701420260095825</v>
      </c>
      <c r="K59">
        <v>1.640001134571909E-3</v>
      </c>
      <c r="L59">
        <v>2.7001090862422998</v>
      </c>
      <c r="M59">
        <v>3.082793986658072E-3</v>
      </c>
    </row>
    <row r="60" spans="1:13" x14ac:dyDescent="0.2">
      <c r="A60" s="1" t="s">
        <v>202</v>
      </c>
      <c r="B60">
        <v>511.75005559018427</v>
      </c>
      <c r="C60">
        <v>500.4404405389418</v>
      </c>
      <c r="D60">
        <v>506.24441628467952</v>
      </c>
      <c r="E60">
        <v>508.72834486682882</v>
      </c>
      <c r="F60">
        <v>502.48436301824472</v>
      </c>
      <c r="G60">
        <v>506.8520691513516</v>
      </c>
      <c r="H60">
        <v>509.16787334052879</v>
      </c>
      <c r="I60">
        <v>506.43413168871729</v>
      </c>
      <c r="J60">
        <v>507.41167705840928</v>
      </c>
      <c r="K60">
        <v>3.4477048536159578</v>
      </c>
      <c r="L60">
        <v>505.61374656145989</v>
      </c>
      <c r="M60">
        <v>3.1092721173970239</v>
      </c>
    </row>
    <row r="61" spans="1:13" x14ac:dyDescent="0.2">
      <c r="A61" s="1" t="s">
        <v>203</v>
      </c>
      <c r="B61">
        <v>536.97627127400222</v>
      </c>
      <c r="C61">
        <v>441.25417595291623</v>
      </c>
      <c r="D61">
        <v>535.74602998365856</v>
      </c>
      <c r="E61">
        <v>441.66369796736802</v>
      </c>
      <c r="F61">
        <v>533.93564661726236</v>
      </c>
      <c r="G61">
        <v>442.11030182778842</v>
      </c>
      <c r="H61">
        <v>534.03799254516389</v>
      </c>
      <c r="I61">
        <v>441.93974219453548</v>
      </c>
      <c r="J61">
        <v>535.17398510502176</v>
      </c>
      <c r="K61">
        <v>1.2648549407334719</v>
      </c>
      <c r="L61">
        <v>441.741979485652</v>
      </c>
      <c r="M61">
        <v>0.32359377288360719</v>
      </c>
    </row>
    <row r="62" spans="1:13" x14ac:dyDescent="0.2">
      <c r="A62" s="1" t="s">
        <v>204</v>
      </c>
      <c r="B62">
        <v>92.457739219712508</v>
      </c>
      <c r="C62">
        <v>92.701817248459946</v>
      </c>
      <c r="D62">
        <v>96.006240246406563</v>
      </c>
      <c r="E62">
        <v>93.780806981519504</v>
      </c>
      <c r="F62">
        <v>93.441757700205315</v>
      </c>
      <c r="G62">
        <v>93.578753593429127</v>
      </c>
      <c r="H62">
        <v>91.869357289527699</v>
      </c>
      <c r="I62">
        <v>88.69669404517451</v>
      </c>
      <c r="J62">
        <v>93.443773613963032</v>
      </c>
      <c r="K62">
        <v>1.582505126025523</v>
      </c>
      <c r="L62">
        <v>92.189517967145775</v>
      </c>
      <c r="M62">
        <v>2.0569665685257958</v>
      </c>
    </row>
    <row r="63" spans="1:13" x14ac:dyDescent="0.2">
      <c r="A63" s="1" t="s">
        <v>205</v>
      </c>
      <c r="B63">
        <v>2024.804077420654</v>
      </c>
      <c r="C63">
        <v>2051.7662306719981</v>
      </c>
      <c r="D63">
        <v>2106.5800239760229</v>
      </c>
      <c r="E63">
        <v>2090.429381174285</v>
      </c>
      <c r="F63">
        <v>2078.7983691216909</v>
      </c>
      <c r="G63">
        <v>2035.916624395652</v>
      </c>
      <c r="H63">
        <v>2020.004880885049</v>
      </c>
      <c r="I63">
        <v>1946.0077166383271</v>
      </c>
      <c r="J63">
        <v>2057.546837850854</v>
      </c>
      <c r="K63">
        <v>36.528645664576331</v>
      </c>
      <c r="L63">
        <v>2031.029988220065</v>
      </c>
      <c r="M63">
        <v>52.940876249799992</v>
      </c>
    </row>
    <row r="64" spans="1:13" x14ac:dyDescent="0.2">
      <c r="A64" s="1" t="s">
        <v>206</v>
      </c>
      <c r="B64">
        <v>4731.265110416989</v>
      </c>
      <c r="C64">
        <v>4062.437855900394</v>
      </c>
      <c r="D64">
        <v>4723.1985959225703</v>
      </c>
      <c r="E64">
        <v>4062.1828467572032</v>
      </c>
      <c r="F64">
        <v>4710.6090745754573</v>
      </c>
      <c r="G64">
        <v>4066.6104084824042</v>
      </c>
      <c r="H64">
        <v>4709.8439765635812</v>
      </c>
      <c r="I64">
        <v>4065.7013986471702</v>
      </c>
      <c r="J64">
        <v>4718.7291893696492</v>
      </c>
      <c r="K64">
        <v>8.9722932174612051</v>
      </c>
      <c r="L64">
        <v>4064.233127446792</v>
      </c>
      <c r="M64">
        <v>1.9515337731864071</v>
      </c>
    </row>
    <row r="65" spans="1:13" x14ac:dyDescent="0.2">
      <c r="A65" s="1" t="s">
        <v>207</v>
      </c>
      <c r="B65">
        <v>523.72265424374382</v>
      </c>
      <c r="C65">
        <v>511.47516614309473</v>
      </c>
      <c r="D65">
        <v>517.68208900135573</v>
      </c>
      <c r="E65">
        <v>520.14537726706612</v>
      </c>
      <c r="F65">
        <v>513.49232023658976</v>
      </c>
      <c r="G65">
        <v>518.19396596022068</v>
      </c>
      <c r="H65">
        <v>520.37730068680389</v>
      </c>
      <c r="I65">
        <v>517.70108961219591</v>
      </c>
      <c r="J65">
        <v>518.81859104212322</v>
      </c>
      <c r="K65">
        <v>3.74633851995707</v>
      </c>
      <c r="L65">
        <v>516.87889974564439</v>
      </c>
      <c r="M65">
        <v>3.250984757371906</v>
      </c>
    </row>
    <row r="66" spans="1:13" x14ac:dyDescent="0.2">
      <c r="A66" s="1" t="s">
        <v>208</v>
      </c>
      <c r="B66">
        <v>514.76790098826984</v>
      </c>
      <c r="C66">
        <v>424.56596980349491</v>
      </c>
      <c r="D66">
        <v>513.60662966886309</v>
      </c>
      <c r="E66">
        <v>424.96293352211842</v>
      </c>
      <c r="F66">
        <v>511.85237741335152</v>
      </c>
      <c r="G66">
        <v>425.25606518303181</v>
      </c>
      <c r="H66">
        <v>512.08103011720652</v>
      </c>
      <c r="I66">
        <v>425.05791151715232</v>
      </c>
      <c r="J66">
        <v>513.07698454692274</v>
      </c>
      <c r="K66">
        <v>1.1865190921850119</v>
      </c>
      <c r="L66">
        <v>424.96072000644938</v>
      </c>
      <c r="M66">
        <v>0.25125066441080468</v>
      </c>
    </row>
    <row r="67" spans="1:13" x14ac:dyDescent="0.2">
      <c r="A67" s="1" t="s">
        <v>209</v>
      </c>
      <c r="B67">
        <v>60.547937817838857</v>
      </c>
      <c r="C67">
        <v>60.704508614755582</v>
      </c>
      <c r="D67">
        <v>62.869448250752058</v>
      </c>
      <c r="E67">
        <v>61.413065676867731</v>
      </c>
      <c r="F67">
        <v>61.192529896999979</v>
      </c>
      <c r="G67">
        <v>61.278767092417297</v>
      </c>
      <c r="H67">
        <v>60.15962799802027</v>
      </c>
      <c r="I67">
        <v>58.081239084171401</v>
      </c>
      <c r="J67">
        <v>61.192385990902793</v>
      </c>
      <c r="K67">
        <v>1.0361515772014109</v>
      </c>
      <c r="L67">
        <v>60.369395117053003</v>
      </c>
      <c r="M67">
        <v>1.347605720728144</v>
      </c>
    </row>
    <row r="68" spans="1:13" x14ac:dyDescent="0.2">
      <c r="A68" s="1" t="s">
        <v>210</v>
      </c>
      <c r="B68">
        <v>1336.598663137918</v>
      </c>
      <c r="C68">
        <v>1356.7968517370771</v>
      </c>
      <c r="D68">
        <v>1389.659003231847</v>
      </c>
      <c r="E68">
        <v>1383.645526191835</v>
      </c>
      <c r="F68">
        <v>1371.4483519506709</v>
      </c>
      <c r="G68">
        <v>1341.810428604794</v>
      </c>
      <c r="H68">
        <v>1333.802350503661</v>
      </c>
      <c r="I68">
        <v>1282.6804497977221</v>
      </c>
      <c r="J68">
        <v>1357.8770922060239</v>
      </c>
      <c r="K68">
        <v>23.593609787143169</v>
      </c>
      <c r="L68">
        <v>1341.2333140828571</v>
      </c>
      <c r="M68">
        <v>36.979015730059949</v>
      </c>
    </row>
    <row r="69" spans="1:13" x14ac:dyDescent="0.2">
      <c r="A69" s="1" t="s">
        <v>211</v>
      </c>
      <c r="B69">
        <v>4575.8065184168618</v>
      </c>
      <c r="C69">
        <v>3945.6204128544432</v>
      </c>
      <c r="D69">
        <v>4568.2227937190028</v>
      </c>
      <c r="E69">
        <v>3945.2774956404542</v>
      </c>
      <c r="F69">
        <v>4556.0261901480817</v>
      </c>
      <c r="G69">
        <v>3948.6307519691081</v>
      </c>
      <c r="H69">
        <v>4556.1452395678789</v>
      </c>
      <c r="I69">
        <v>3947.5285839054868</v>
      </c>
      <c r="J69">
        <v>4564.0501854629574</v>
      </c>
      <c r="K69">
        <v>8.4037892435308823</v>
      </c>
      <c r="L69">
        <v>3946.7643110923732</v>
      </c>
      <c r="M69">
        <v>1.3772107542070791</v>
      </c>
    </row>
    <row r="70" spans="1:13" x14ac:dyDescent="0.2">
      <c r="A70" s="1" t="s">
        <v>212</v>
      </c>
      <c r="B70">
        <v>3.5606002658149118</v>
      </c>
      <c r="C70">
        <v>3.4975840556658349</v>
      </c>
      <c r="D70">
        <v>3.5280677144903119</v>
      </c>
      <c r="E70">
        <v>3.548830346987212</v>
      </c>
      <c r="F70">
        <v>3.510399742507003</v>
      </c>
      <c r="G70">
        <v>3.5339324084311432</v>
      </c>
      <c r="H70">
        <v>3.5507945606796119</v>
      </c>
      <c r="I70">
        <v>3.5217863489279631</v>
      </c>
      <c r="J70">
        <v>3.5374655708729601</v>
      </c>
      <c r="K70">
        <v>1.9581591157560189E-2</v>
      </c>
      <c r="L70">
        <v>3.5255332900030378</v>
      </c>
      <c r="M70">
        <v>1.876497616538041E-2</v>
      </c>
    </row>
    <row r="71" spans="1:13" x14ac:dyDescent="0.2">
      <c r="A71" s="1" t="s">
        <v>213</v>
      </c>
      <c r="B71">
        <v>4.2774731676747484</v>
      </c>
      <c r="C71">
        <v>3.659948973631495</v>
      </c>
      <c r="D71">
        <v>4.2684049654753613</v>
      </c>
      <c r="E71">
        <v>3.6628589377547378</v>
      </c>
      <c r="F71">
        <v>4.2531450332042509</v>
      </c>
      <c r="G71">
        <v>3.6691923331118339</v>
      </c>
      <c r="H71">
        <v>4.2560815859415486</v>
      </c>
      <c r="I71">
        <v>3.668712065627949</v>
      </c>
      <c r="J71">
        <v>4.2637761880739768</v>
      </c>
      <c r="K71">
        <v>9.7629553191642092E-3</v>
      </c>
      <c r="L71">
        <v>3.6651780775315039</v>
      </c>
      <c r="M71">
        <v>3.9155222075507512E-3</v>
      </c>
    </row>
    <row r="72" spans="1:13" x14ac:dyDescent="0.2">
      <c r="A72" s="1" t="s">
        <v>214</v>
      </c>
      <c r="B72">
        <v>0.57261345529214125</v>
      </c>
      <c r="C72">
        <v>0.57413368427602529</v>
      </c>
      <c r="D72">
        <v>0.59458420508991361</v>
      </c>
      <c r="E72">
        <v>0.58079229668346721</v>
      </c>
      <c r="F72">
        <v>0.57869293012258116</v>
      </c>
      <c r="G72">
        <v>0.57953736544085632</v>
      </c>
      <c r="H72">
        <v>0.56896336755646826</v>
      </c>
      <c r="I72">
        <v>0.54929474954887691</v>
      </c>
      <c r="J72">
        <v>0.57871348951527612</v>
      </c>
      <c r="K72">
        <v>9.7999404497516318E-3</v>
      </c>
      <c r="L72">
        <v>0.57093952398730641</v>
      </c>
      <c r="M72">
        <v>1.2744596187238661E-2</v>
      </c>
    </row>
    <row r="73" spans="1:13" x14ac:dyDescent="0.2">
      <c r="A73" s="1" t="s">
        <v>215</v>
      </c>
      <c r="B73">
        <v>18.216394647306629</v>
      </c>
      <c r="C73">
        <v>18.475635800009499</v>
      </c>
      <c r="D73">
        <v>18.95641997158193</v>
      </c>
      <c r="E73">
        <v>18.835617785475289</v>
      </c>
      <c r="F73">
        <v>18.706148865525311</v>
      </c>
      <c r="G73">
        <v>18.30960625334313</v>
      </c>
      <c r="H73">
        <v>18.18564136457552</v>
      </c>
      <c r="I73">
        <v>17.499518021473548</v>
      </c>
      <c r="J73">
        <v>18.516151212247351</v>
      </c>
      <c r="K73">
        <v>0.32750055203398309</v>
      </c>
      <c r="L73">
        <v>18.280094465075361</v>
      </c>
      <c r="M73">
        <v>0.48913523261179942</v>
      </c>
    </row>
    <row r="74" spans="1:13" x14ac:dyDescent="0.2">
      <c r="A74" s="1" t="s">
        <v>216</v>
      </c>
      <c r="B74">
        <v>32.643509983442613</v>
      </c>
      <c r="C74">
        <v>28.324250104948181</v>
      </c>
      <c r="D74">
        <v>32.581546941763527</v>
      </c>
      <c r="E74">
        <v>28.33594856702102</v>
      </c>
      <c r="F74">
        <v>32.474958422025921</v>
      </c>
      <c r="G74">
        <v>28.383897153138069</v>
      </c>
      <c r="H74">
        <v>32.4913989592226</v>
      </c>
      <c r="I74">
        <v>28.381326690744039</v>
      </c>
      <c r="J74">
        <v>32.547853576613662</v>
      </c>
      <c r="K74">
        <v>6.8531413252771914E-2</v>
      </c>
      <c r="L74">
        <v>28.35635562896282</v>
      </c>
      <c r="M74">
        <v>2.6595593289717279E-2</v>
      </c>
    </row>
    <row r="75" spans="1:13" x14ac:dyDescent="0.2">
      <c r="A75" s="1" t="s">
        <v>217</v>
      </c>
      <c r="B75">
        <v>1822.500293124416</v>
      </c>
      <c r="C75">
        <v>1793.0130914764641</v>
      </c>
      <c r="D75">
        <v>1808.027404086055</v>
      </c>
      <c r="E75">
        <v>1816.0539087805601</v>
      </c>
      <c r="F75">
        <v>1803.09266680017</v>
      </c>
      <c r="G75">
        <v>1807.321461465157</v>
      </c>
      <c r="H75">
        <v>1820.487118871232</v>
      </c>
      <c r="I75">
        <v>1794.574734995688</v>
      </c>
      <c r="J75">
        <v>1813.526870720468</v>
      </c>
      <c r="K75">
        <v>8.186637109846723</v>
      </c>
      <c r="L75">
        <v>1802.7407991794671</v>
      </c>
      <c r="M75">
        <v>9.4806942735608768</v>
      </c>
    </row>
    <row r="76" spans="1:13" x14ac:dyDescent="0.2">
      <c r="A76" s="1" t="s">
        <v>218</v>
      </c>
      <c r="B76">
        <v>3697.722164723999</v>
      </c>
      <c r="C76">
        <v>3182.0953079422638</v>
      </c>
      <c r="D76">
        <v>3689.9748858369499</v>
      </c>
      <c r="E76">
        <v>3184.5666504098208</v>
      </c>
      <c r="F76">
        <v>3676.6779362549451</v>
      </c>
      <c r="G76">
        <v>3190.390107952926</v>
      </c>
      <c r="H76">
        <v>3679.4827775369699</v>
      </c>
      <c r="I76">
        <v>3190.0852027771348</v>
      </c>
      <c r="J76">
        <v>3685.9644410882161</v>
      </c>
      <c r="K76">
        <v>8.4050411448725502</v>
      </c>
      <c r="L76">
        <v>3186.784317270537</v>
      </c>
      <c r="M76">
        <v>3.5637910418057261</v>
      </c>
    </row>
    <row r="77" spans="1:13" x14ac:dyDescent="0.2">
      <c r="A77" s="1" t="s">
        <v>219</v>
      </c>
      <c r="B77">
        <v>290.58114510609181</v>
      </c>
      <c r="C77">
        <v>291.36314510609179</v>
      </c>
      <c r="D77">
        <v>301.72318480492822</v>
      </c>
      <c r="E77">
        <v>294.71293018480497</v>
      </c>
      <c r="F77">
        <v>293.6481259411363</v>
      </c>
      <c r="G77">
        <v>294.07172553045871</v>
      </c>
      <c r="H77">
        <v>288.72138193018492</v>
      </c>
      <c r="I77">
        <v>278.7162970568105</v>
      </c>
      <c r="J77">
        <v>293.66845944558531</v>
      </c>
      <c r="K77">
        <v>4.9720242316401499</v>
      </c>
      <c r="L77">
        <v>289.71602446954148</v>
      </c>
      <c r="M77">
        <v>6.4739518071469373</v>
      </c>
    </row>
    <row r="78" spans="1:13" x14ac:dyDescent="0.2">
      <c r="A78" s="1" t="s">
        <v>220</v>
      </c>
      <c r="B78">
        <v>10562.471954692861</v>
      </c>
      <c r="C78">
        <v>10725.098717839801</v>
      </c>
      <c r="D78">
        <v>10993.67255144929</v>
      </c>
      <c r="E78">
        <v>10942.504011524959</v>
      </c>
      <c r="F78">
        <v>10848.426074141251</v>
      </c>
      <c r="G78">
        <v>10610.745021581741</v>
      </c>
      <c r="H78">
        <v>10552.786311660049</v>
      </c>
      <c r="I78">
        <v>10140.45637034259</v>
      </c>
      <c r="J78">
        <v>10739.33922298586</v>
      </c>
      <c r="K78">
        <v>188.85801702592011</v>
      </c>
      <c r="L78">
        <v>10604.701030322271</v>
      </c>
      <c r="M78">
        <v>293.32835330861809</v>
      </c>
    </row>
    <row r="79" spans="1:13" x14ac:dyDescent="0.2">
      <c r="A79" s="1" t="s">
        <v>221</v>
      </c>
      <c r="B79">
        <v>25992.103065456769</v>
      </c>
      <c r="C79">
        <v>22382.851447176959</v>
      </c>
      <c r="D79">
        <v>25937.932688196091</v>
      </c>
      <c r="E79">
        <v>22399.803992978272</v>
      </c>
      <c r="F79">
        <v>25844.86328136846</v>
      </c>
      <c r="G79">
        <v>22440.712788524699</v>
      </c>
      <c r="H79">
        <v>25864.332557064059</v>
      </c>
      <c r="I79">
        <v>22438.61010869388</v>
      </c>
      <c r="J79">
        <v>25909.807898021339</v>
      </c>
      <c r="K79">
        <v>58.841542028079942</v>
      </c>
      <c r="L79">
        <v>22415.494584343451</v>
      </c>
      <c r="M79">
        <v>24.910110144184259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5"/>
  <sheetViews>
    <sheetView workbookViewId="0"/>
  </sheetViews>
  <sheetFormatPr baseColWidth="10" defaultColWidth="8.83203125" defaultRowHeight="15" x14ac:dyDescent="0.2"/>
  <cols>
    <col min="1" max="1" width="60" customWidth="1"/>
    <col min="2" max="13" width="24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222</v>
      </c>
      <c r="B2">
        <v>4.1832678553568146</v>
      </c>
      <c r="C2">
        <v>4.19311791755106</v>
      </c>
      <c r="D2">
        <v>4.3405305303996524</v>
      </c>
      <c r="E2">
        <v>4.2388484315628796</v>
      </c>
      <c r="F2">
        <v>4.2249475438502913</v>
      </c>
      <c r="G2">
        <v>4.2271994180831749</v>
      </c>
      <c r="H2">
        <v>4.1527105780950384</v>
      </c>
      <c r="I2">
        <v>4.0045554221608333</v>
      </c>
      <c r="J2">
        <v>4.2253641269254487</v>
      </c>
      <c r="K2">
        <v>7.1263785102032101E-2</v>
      </c>
      <c r="L2">
        <v>4.1659302973394867</v>
      </c>
      <c r="M2">
        <v>9.4673090800686491E-2</v>
      </c>
    </row>
    <row r="3" spans="1:13" x14ac:dyDescent="0.2">
      <c r="A3" s="1" t="s">
        <v>223</v>
      </c>
      <c r="B3">
        <v>2.1841919406933369E-3</v>
      </c>
      <c r="C3">
        <v>2.1966802096669538E-3</v>
      </c>
      <c r="D3">
        <v>2.264802074237559E-3</v>
      </c>
      <c r="E3">
        <v>2.2171351206986128E-3</v>
      </c>
      <c r="F3">
        <v>2.216557925154892E-3</v>
      </c>
      <c r="G3">
        <v>2.2131037172969971E-3</v>
      </c>
      <c r="H3">
        <v>2.167463793669736E-3</v>
      </c>
      <c r="I3">
        <v>2.0962890808475612E-3</v>
      </c>
      <c r="J3">
        <v>2.2082539334388812E-3</v>
      </c>
      <c r="K3">
        <v>3.7112880188283681E-5</v>
      </c>
      <c r="L3">
        <v>2.180802032127531E-3</v>
      </c>
      <c r="M3">
        <v>4.9391415362199959E-5</v>
      </c>
    </row>
    <row r="4" spans="1:13" x14ac:dyDescent="0.2">
      <c r="A4" s="1" t="s">
        <v>224</v>
      </c>
      <c r="B4">
        <v>320.92792607802892</v>
      </c>
      <c r="C4">
        <v>321.79219712525679</v>
      </c>
      <c r="D4">
        <v>333.23316221765918</v>
      </c>
      <c r="E4">
        <v>325.49014373716642</v>
      </c>
      <c r="F4">
        <v>324.31416837782348</v>
      </c>
      <c r="G4">
        <v>324.78172484599611</v>
      </c>
      <c r="H4">
        <v>318.87351129363458</v>
      </c>
      <c r="I4">
        <v>307.82217659137592</v>
      </c>
      <c r="J4">
        <v>324.3371919917866</v>
      </c>
      <c r="K4">
        <v>5.4912138272990516</v>
      </c>
      <c r="L4">
        <v>319.9715605749488</v>
      </c>
      <c r="M4">
        <v>7.1504316139200172</v>
      </c>
    </row>
    <row r="5" spans="1:13" x14ac:dyDescent="0.2">
      <c r="A5" s="1" t="s">
        <v>225</v>
      </c>
      <c r="B5">
        <v>2.4080292053388099</v>
      </c>
      <c r="C5">
        <v>2.41451411909651</v>
      </c>
      <c r="D5">
        <v>2.500359493839837</v>
      </c>
      <c r="E5">
        <v>2.442261045174539</v>
      </c>
      <c r="F5">
        <v>2.4334373100616018</v>
      </c>
      <c r="G5">
        <v>2.436945542094457</v>
      </c>
      <c r="H5">
        <v>2.3926142464065712</v>
      </c>
      <c r="I5">
        <v>2.3096923983572899</v>
      </c>
      <c r="J5">
        <v>2.4336100639117051</v>
      </c>
      <c r="K5">
        <v>4.1202407750834093E-2</v>
      </c>
      <c r="L5">
        <v>2.4008532761806989</v>
      </c>
      <c r="M5">
        <v>5.3652071876446383E-2</v>
      </c>
    </row>
    <row r="6" spans="1:13" x14ac:dyDescent="0.2">
      <c r="A6" s="1" t="s">
        <v>226</v>
      </c>
      <c r="B6">
        <v>1.083613142402464</v>
      </c>
      <c r="C6">
        <v>1.0865313535934289</v>
      </c>
      <c r="D6">
        <v>1.1251617722279259</v>
      </c>
      <c r="E6">
        <v>1.099017470328542</v>
      </c>
      <c r="F6">
        <v>1.0950467895277209</v>
      </c>
      <c r="G6">
        <v>1.0966254939425051</v>
      </c>
      <c r="H6">
        <v>1.076676410882957</v>
      </c>
      <c r="I6">
        <v>1.03936157926078</v>
      </c>
      <c r="J6">
        <v>1.0951245287602669</v>
      </c>
      <c r="K6">
        <v>1.8541083487875261E-2</v>
      </c>
      <c r="L6">
        <v>1.0803839742813139</v>
      </c>
      <c r="M6">
        <v>2.4143432344400959E-2</v>
      </c>
    </row>
    <row r="7" spans="1:13" x14ac:dyDescent="0.2">
      <c r="A7" s="1" t="s">
        <v>227</v>
      </c>
      <c r="B7">
        <v>0.46480753948409048</v>
      </c>
      <c r="C7">
        <v>0.46590199083900652</v>
      </c>
      <c r="D7">
        <v>0.48228117004440563</v>
      </c>
      <c r="E7">
        <v>0.47098315906254212</v>
      </c>
      <c r="F7">
        <v>0.46943861598336561</v>
      </c>
      <c r="G7">
        <v>0.46968882423146369</v>
      </c>
      <c r="H7">
        <v>0.46141228645500398</v>
      </c>
      <c r="I7">
        <v>0.44495060246231471</v>
      </c>
      <c r="J7">
        <v>0.46948490299171641</v>
      </c>
      <c r="K7">
        <v>7.9181983446702364E-3</v>
      </c>
      <c r="L7">
        <v>0.46288114414883169</v>
      </c>
      <c r="M7">
        <v>1.051923231118738E-2</v>
      </c>
    </row>
    <row r="8" spans="1:13" x14ac:dyDescent="0.2">
      <c r="A8" s="1" t="s">
        <v>228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s="1" t="s">
        <v>229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s="1" t="s">
        <v>230</v>
      </c>
      <c r="B10">
        <v>2.1841919406928831E-4</v>
      </c>
      <c r="C10">
        <v>2.1966802096665139E-4</v>
      </c>
      <c r="D10">
        <v>2.2648020742371071E-4</v>
      </c>
      <c r="E10">
        <v>2.2171351206981541E-4</v>
      </c>
      <c r="F10">
        <v>2.2165579251544329E-4</v>
      </c>
      <c r="G10">
        <v>2.2131037172965409E-4</v>
      </c>
      <c r="H10">
        <v>2.167463793669289E-4</v>
      </c>
      <c r="I10">
        <v>2.09628908084711E-4</v>
      </c>
      <c r="J10">
        <v>2.2082539334384281E-4</v>
      </c>
      <c r="K10">
        <v>3.7112880188282351E-6</v>
      </c>
      <c r="L10">
        <v>2.18080203212708E-4</v>
      </c>
      <c r="M10">
        <v>4.9391415362198243E-6</v>
      </c>
    </row>
    <row r="11" spans="1:13" x14ac:dyDescent="0.2">
      <c r="A11" s="1" t="s">
        <v>231</v>
      </c>
      <c r="B11">
        <v>45.217141556234523</v>
      </c>
      <c r="C11">
        <v>45.475673700526343</v>
      </c>
      <c r="D11">
        <v>46.885932540866982</v>
      </c>
      <c r="E11">
        <v>45.899131268703727</v>
      </c>
      <c r="F11">
        <v>45.88718216655765</v>
      </c>
      <c r="G11">
        <v>45.815673155483474</v>
      </c>
      <c r="H11">
        <v>44.870835456551923</v>
      </c>
      <c r="I11">
        <v>43.397376551707218</v>
      </c>
      <c r="J11">
        <v>45.71527293005277</v>
      </c>
      <c r="K11">
        <v>0.7683108456578509</v>
      </c>
      <c r="L11">
        <v>45.14696366910519</v>
      </c>
      <c r="M11">
        <v>1.022501080828278</v>
      </c>
    </row>
    <row r="12" spans="1:13" x14ac:dyDescent="0.2">
      <c r="A12" s="1" t="s">
        <v>232</v>
      </c>
      <c r="B12">
        <v>4.3683838813867257E-3</v>
      </c>
      <c r="C12">
        <v>4.3933604193339606E-3</v>
      </c>
      <c r="D12">
        <v>4.5296041484751666E-3</v>
      </c>
      <c r="E12">
        <v>4.4342702413972769E-3</v>
      </c>
      <c r="F12">
        <v>4.4331158503098361E-3</v>
      </c>
      <c r="G12">
        <v>4.4262074345940462E-3</v>
      </c>
      <c r="H12">
        <v>4.3349275873395231E-3</v>
      </c>
      <c r="I12">
        <v>4.1925781616951692E-3</v>
      </c>
      <c r="J12">
        <v>4.4165078668778127E-3</v>
      </c>
      <c r="K12">
        <v>7.4225760376567308E-5</v>
      </c>
      <c r="L12">
        <v>4.3616040642551132E-3</v>
      </c>
      <c r="M12">
        <v>9.8782830724401666E-5</v>
      </c>
    </row>
    <row r="13" spans="1:13" x14ac:dyDescent="0.2">
      <c r="A13" s="1" t="s">
        <v>233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s="1" t="s">
        <v>234</v>
      </c>
      <c r="B14">
        <v>36.557876796714567</v>
      </c>
      <c r="C14">
        <v>36.65632854209445</v>
      </c>
      <c r="D14">
        <v>37.959603696098547</v>
      </c>
      <c r="E14">
        <v>37.0775728952772</v>
      </c>
      <c r="F14">
        <v>36.943613963039013</v>
      </c>
      <c r="G14">
        <v>36.99687474332648</v>
      </c>
      <c r="H14">
        <v>36.323852156057477</v>
      </c>
      <c r="I14">
        <v>35.064960985626271</v>
      </c>
      <c r="J14">
        <v>36.946236652977397</v>
      </c>
      <c r="K14">
        <v>0.62552087945754653</v>
      </c>
      <c r="L14">
        <v>36.448934291581097</v>
      </c>
      <c r="M14">
        <v>0.81452742732480232</v>
      </c>
    </row>
    <row r="15" spans="1:13" x14ac:dyDescent="0.2">
      <c r="A15" s="1" t="s">
        <v>235</v>
      </c>
      <c r="B15">
        <v>295.19167693360708</v>
      </c>
      <c r="C15">
        <v>295.9866392881587</v>
      </c>
      <c r="D15">
        <v>306.51011635865842</v>
      </c>
      <c r="E15">
        <v>299.38803559206019</v>
      </c>
      <c r="F15">
        <v>298.30636550307997</v>
      </c>
      <c r="G15">
        <v>298.73642710472268</v>
      </c>
      <c r="H15">
        <v>293.30201232032852</v>
      </c>
      <c r="I15">
        <v>283.13691991786442</v>
      </c>
      <c r="J15">
        <v>298.32754277891843</v>
      </c>
      <c r="K15">
        <v>5.0508556169939114</v>
      </c>
      <c r="L15">
        <v>294.31200547570148</v>
      </c>
      <c r="M15">
        <v>6.5770153588906721</v>
      </c>
    </row>
    <row r="16" spans="1:13" x14ac:dyDescent="0.2">
      <c r="A16" s="1" t="s">
        <v>236</v>
      </c>
      <c r="B16">
        <v>62.015058179329223</v>
      </c>
      <c r="C16">
        <v>62.182067077344293</v>
      </c>
      <c r="D16">
        <v>64.392881587953454</v>
      </c>
      <c r="E16">
        <v>62.896646132785762</v>
      </c>
      <c r="F16">
        <v>62.669404517453799</v>
      </c>
      <c r="G16">
        <v>62.75975359342916</v>
      </c>
      <c r="H16">
        <v>61.618069815195071</v>
      </c>
      <c r="I16">
        <v>59.482546201232033</v>
      </c>
      <c r="J16">
        <v>62.673853524982881</v>
      </c>
      <c r="K16">
        <v>1.0611041212172101</v>
      </c>
      <c r="L16">
        <v>61.83025325119781</v>
      </c>
      <c r="M16">
        <v>1.3817259157333339</v>
      </c>
    </row>
    <row r="17" spans="1:13" x14ac:dyDescent="0.2">
      <c r="A17" s="1" t="s">
        <v>237</v>
      </c>
      <c r="B17">
        <v>1.083613142402464</v>
      </c>
      <c r="C17">
        <v>1.0865313535934289</v>
      </c>
      <c r="D17">
        <v>1.1251617722279259</v>
      </c>
      <c r="E17">
        <v>1.099017470328542</v>
      </c>
      <c r="F17">
        <v>1.0950467895277209</v>
      </c>
      <c r="G17">
        <v>1.0966254939425051</v>
      </c>
      <c r="H17">
        <v>1.076676410882957</v>
      </c>
      <c r="I17">
        <v>1.03936157926078</v>
      </c>
      <c r="J17">
        <v>1.0951245287602669</v>
      </c>
      <c r="K17">
        <v>1.8541083487875261E-2</v>
      </c>
      <c r="L17">
        <v>1.0803839742813139</v>
      </c>
      <c r="M17">
        <v>2.4143432344400959E-2</v>
      </c>
    </row>
    <row r="18" spans="1:13" x14ac:dyDescent="0.2">
      <c r="A18" s="1" t="s">
        <v>238</v>
      </c>
      <c r="B18">
        <v>359.11534298833959</v>
      </c>
      <c r="C18">
        <v>350.17761699596991</v>
      </c>
      <c r="D18">
        <v>354.84447303851192</v>
      </c>
      <c r="E18">
        <v>356.13184296202911</v>
      </c>
      <c r="F18">
        <v>351.92915272577062</v>
      </c>
      <c r="G18">
        <v>354.75902946918319</v>
      </c>
      <c r="H18">
        <v>356.6034010777114</v>
      </c>
      <c r="I18">
        <v>354.17033369192518</v>
      </c>
      <c r="J18">
        <v>355.62309245758343</v>
      </c>
      <c r="K18">
        <v>2.6176448241828592</v>
      </c>
      <c r="L18">
        <v>353.80970577977678</v>
      </c>
      <c r="M18">
        <v>2.2144783801690018</v>
      </c>
    </row>
    <row r="19" spans="1:13" x14ac:dyDescent="0.2">
      <c r="A19" s="1" t="s">
        <v>239</v>
      </c>
      <c r="B19">
        <v>1.045426816568632E-2</v>
      </c>
      <c r="C19">
        <v>1.0648805334940019E-2</v>
      </c>
      <c r="D19">
        <v>1.046469643667204E-2</v>
      </c>
      <c r="E19">
        <v>1.069583475294753E-2</v>
      </c>
      <c r="F19">
        <v>1.035658219656033E-2</v>
      </c>
      <c r="G19">
        <v>1.06850091846857E-2</v>
      </c>
      <c r="H19">
        <v>1.0452985678556251E-2</v>
      </c>
      <c r="I19">
        <v>1.054943939346909E-2</v>
      </c>
      <c r="J19">
        <v>1.043213311936874E-2</v>
      </c>
      <c r="K19">
        <v>4.3855162384685091E-5</v>
      </c>
      <c r="L19">
        <v>1.064477216651058E-2</v>
      </c>
      <c r="M19">
        <v>5.7729995298407557E-5</v>
      </c>
    </row>
    <row r="20" spans="1:13" x14ac:dyDescent="0.2">
      <c r="A20" s="1" t="s">
        <v>240</v>
      </c>
      <c r="B20">
        <v>2200.458897653682</v>
      </c>
      <c r="C20">
        <v>2162.0878372857678</v>
      </c>
      <c r="D20">
        <v>2181.8543802612212</v>
      </c>
      <c r="E20">
        <v>2191.2362098417761</v>
      </c>
      <c r="F20">
        <v>2174.1479606876819</v>
      </c>
      <c r="G20">
        <v>2181.0926818827652</v>
      </c>
      <c r="H20">
        <v>2196.4379559352378</v>
      </c>
      <c r="I20">
        <v>2167.7999207569592</v>
      </c>
      <c r="J20">
        <v>2188.224798634456</v>
      </c>
      <c r="K20">
        <v>10.67554130348212</v>
      </c>
      <c r="L20">
        <v>2175.554162441817</v>
      </c>
      <c r="M20">
        <v>11.380597365340311</v>
      </c>
    </row>
    <row r="21" spans="1:13" x14ac:dyDescent="0.2">
      <c r="A21" s="1" t="s">
        <v>241</v>
      </c>
      <c r="B21">
        <v>23.948329977779871</v>
      </c>
      <c r="C21">
        <v>23.506349638463561</v>
      </c>
      <c r="D21">
        <v>23.679699914779739</v>
      </c>
      <c r="E21">
        <v>23.892546058490741</v>
      </c>
      <c r="F21">
        <v>23.5137560938417</v>
      </c>
      <c r="G21">
        <v>23.79788710031276</v>
      </c>
      <c r="H21">
        <v>23.808980842980201</v>
      </c>
      <c r="I21">
        <v>23.71882664262813</v>
      </c>
      <c r="J21">
        <v>23.73769170734538</v>
      </c>
      <c r="K21">
        <v>0.16043754924536749</v>
      </c>
      <c r="L21">
        <v>23.728902359973802</v>
      </c>
      <c r="M21">
        <v>0.14245120953819521</v>
      </c>
    </row>
    <row r="22" spans="1:13" x14ac:dyDescent="0.2">
      <c r="A22" s="1" t="s">
        <v>242</v>
      </c>
      <c r="B22">
        <v>15.055881700570501</v>
      </c>
      <c r="C22">
        <v>14.8192767656275</v>
      </c>
      <c r="D22">
        <v>14.88708868743187</v>
      </c>
      <c r="E22">
        <v>15.06315728609925</v>
      </c>
      <c r="F22">
        <v>14.784535018082281</v>
      </c>
      <c r="G22">
        <v>15.003581735306311</v>
      </c>
      <c r="H22">
        <v>14.969555992160631</v>
      </c>
      <c r="I22">
        <v>14.955526541139291</v>
      </c>
      <c r="J22">
        <v>14.92426534956132</v>
      </c>
      <c r="K22">
        <v>0.10035035613085611</v>
      </c>
      <c r="L22">
        <v>14.960385582043081</v>
      </c>
      <c r="M22">
        <v>8.9948928787479523E-2</v>
      </c>
    </row>
    <row r="23" spans="1:13" x14ac:dyDescent="0.2">
      <c r="A23" s="1" t="s">
        <v>243</v>
      </c>
      <c r="B23">
        <v>44.195005300578757</v>
      </c>
      <c r="C23">
        <v>43.068423890451363</v>
      </c>
      <c r="D23">
        <v>43.661919864281188</v>
      </c>
      <c r="E23">
        <v>43.822094879985727</v>
      </c>
      <c r="F23">
        <v>43.277005293160023</v>
      </c>
      <c r="G23">
        <v>43.662172630667847</v>
      </c>
      <c r="H23">
        <v>43.878566960221853</v>
      </c>
      <c r="I23">
        <v>43.64270458556841</v>
      </c>
      <c r="J23">
        <v>43.753124354560462</v>
      </c>
      <c r="K23">
        <v>0.33391699471765829</v>
      </c>
      <c r="L23">
        <v>43.54884899666834</v>
      </c>
      <c r="M23">
        <v>0.28597321247982599</v>
      </c>
    </row>
    <row r="24" spans="1:13" x14ac:dyDescent="0.2">
      <c r="A24" s="1" t="s">
        <v>244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s="1" t="s">
        <v>245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s="1" t="s">
        <v>246</v>
      </c>
      <c r="B26">
        <v>1.0454268165685861E-3</v>
      </c>
      <c r="C26">
        <v>1.064880533493958E-3</v>
      </c>
      <c r="D26">
        <v>1.046469643667159E-3</v>
      </c>
      <c r="E26">
        <v>1.0695834752947079E-3</v>
      </c>
      <c r="F26">
        <v>1.0356582196559879E-3</v>
      </c>
      <c r="G26">
        <v>1.0685009184685239E-3</v>
      </c>
      <c r="H26">
        <v>1.045298567855581E-3</v>
      </c>
      <c r="I26">
        <v>1.054943939346864E-3</v>
      </c>
      <c r="J26">
        <v>1.043213311936828E-3</v>
      </c>
      <c r="K26">
        <v>4.3855162384680522E-6</v>
      </c>
      <c r="L26">
        <v>1.064477216651013E-3</v>
      </c>
      <c r="M26">
        <v>5.7729995298404108E-6</v>
      </c>
    </row>
    <row r="27" spans="1:13" x14ac:dyDescent="0.2">
      <c r="A27" s="1" t="s">
        <v>247</v>
      </c>
      <c r="B27">
        <v>712.0675089815096</v>
      </c>
      <c r="C27">
        <v>729.047352604244</v>
      </c>
      <c r="D27">
        <v>712.91421064657379</v>
      </c>
      <c r="E27">
        <v>731.60896118049948</v>
      </c>
      <c r="F27">
        <v>707.49414213976513</v>
      </c>
      <c r="G27">
        <v>730.11663585013298</v>
      </c>
      <c r="H27">
        <v>713.12273758295862</v>
      </c>
      <c r="I27">
        <v>717.43039101972499</v>
      </c>
      <c r="J27">
        <v>711.39964983770176</v>
      </c>
      <c r="K27">
        <v>2.2892112198438288</v>
      </c>
      <c r="L27">
        <v>727.05083516365039</v>
      </c>
      <c r="M27">
        <v>5.6283806297126118</v>
      </c>
    </row>
    <row r="28" spans="1:13" x14ac:dyDescent="0.2">
      <c r="A28" s="1" t="s">
        <v>248</v>
      </c>
      <c r="B28">
        <v>2.0908536331372681E-2</v>
      </c>
      <c r="C28">
        <v>2.129761066988009E-2</v>
      </c>
      <c r="D28">
        <v>2.0929392873344142E-2</v>
      </c>
      <c r="E28">
        <v>2.1391669505895099E-2</v>
      </c>
      <c r="F28">
        <v>2.0713164393120698E-2</v>
      </c>
      <c r="G28">
        <v>2.1370018369371441E-2</v>
      </c>
      <c r="H28">
        <v>2.0905971357112561E-2</v>
      </c>
      <c r="I28">
        <v>2.1098878786938231E-2</v>
      </c>
      <c r="J28">
        <v>2.0864266238737519E-2</v>
      </c>
      <c r="K28">
        <v>8.7710324769371673E-5</v>
      </c>
      <c r="L28">
        <v>2.1289544333021219E-2</v>
      </c>
      <c r="M28">
        <v>1.1545999059681229E-4</v>
      </c>
    </row>
    <row r="29" spans="1:13" x14ac:dyDescent="0.2">
      <c r="A29" s="1" t="s">
        <v>249</v>
      </c>
      <c r="B29">
        <v>18821.500882764401</v>
      </c>
      <c r="C29">
        <v>18450.58818171106</v>
      </c>
      <c r="D29">
        <v>18609.832804416361</v>
      </c>
      <c r="E29">
        <v>18753.690449792612</v>
      </c>
      <c r="F29">
        <v>18481.216602030319</v>
      </c>
      <c r="G29">
        <v>18678.417547026809</v>
      </c>
      <c r="H29">
        <v>18710.554763741871</v>
      </c>
      <c r="I29">
        <v>18612.70048312212</v>
      </c>
      <c r="J29">
        <v>18655.77626323824</v>
      </c>
      <c r="K29">
        <v>125.54601782220961</v>
      </c>
      <c r="L29">
        <v>18623.84916541315</v>
      </c>
      <c r="M29">
        <v>111.7811802043238</v>
      </c>
    </row>
    <row r="30" spans="1:13" x14ac:dyDescent="0.2">
      <c r="A30" s="1" t="s">
        <v>250</v>
      </c>
      <c r="B30">
        <v>391.33774963535882</v>
      </c>
      <c r="C30">
        <v>382.21131528226829</v>
      </c>
      <c r="D30">
        <v>387.06872018611688</v>
      </c>
      <c r="E30">
        <v>388.53690544177749</v>
      </c>
      <c r="F30">
        <v>384.1982008005856</v>
      </c>
      <c r="G30">
        <v>387.07930529098189</v>
      </c>
      <c r="H30">
        <v>389.27254069165832</v>
      </c>
      <c r="I30">
        <v>386.54608035401509</v>
      </c>
      <c r="J30">
        <v>387.96930282842987</v>
      </c>
      <c r="K30">
        <v>2.6493924973146479</v>
      </c>
      <c r="L30">
        <v>386.09340159226059</v>
      </c>
      <c r="M30">
        <v>2.3568108401677841</v>
      </c>
    </row>
    <row r="31" spans="1:13" x14ac:dyDescent="0.2">
      <c r="A31" s="1" t="s">
        <v>251</v>
      </c>
      <c r="B31">
        <v>829.75838587560531</v>
      </c>
      <c r="C31">
        <v>821.81161086199643</v>
      </c>
      <c r="D31">
        <v>822.19873344171219</v>
      </c>
      <c r="E31">
        <v>832.70369993511611</v>
      </c>
      <c r="F31">
        <v>820.11737265539739</v>
      </c>
      <c r="G31">
        <v>828.41881613692897</v>
      </c>
      <c r="H31">
        <v>827.53702175017008</v>
      </c>
      <c r="I31">
        <v>821.77485532047706</v>
      </c>
      <c r="J31">
        <v>824.90287843072122</v>
      </c>
      <c r="K31">
        <v>3.8964127483482258</v>
      </c>
      <c r="L31">
        <v>826.17724556362964</v>
      </c>
      <c r="M31">
        <v>4.6384008963026639</v>
      </c>
    </row>
    <row r="32" spans="1:13" x14ac:dyDescent="0.2">
      <c r="A32" s="1" t="s">
        <v>252</v>
      </c>
      <c r="B32">
        <v>995.60477741535124</v>
      </c>
      <c r="C32">
        <v>973.81788276762052</v>
      </c>
      <c r="D32">
        <v>983.7983334809386</v>
      </c>
      <c r="E32">
        <v>991.99326427327139</v>
      </c>
      <c r="F32">
        <v>973.84160728714176</v>
      </c>
      <c r="G32">
        <v>989.17131458697838</v>
      </c>
      <c r="H32">
        <v>989.26631782738514</v>
      </c>
      <c r="I32">
        <v>992.88959931910244</v>
      </c>
      <c r="J32">
        <v>985.62775900270424</v>
      </c>
      <c r="K32">
        <v>7.9849886776517156</v>
      </c>
      <c r="L32">
        <v>986.96801523674321</v>
      </c>
      <c r="M32">
        <v>7.7152251734119739</v>
      </c>
    </row>
    <row r="33" spans="1:13" x14ac:dyDescent="0.2">
      <c r="A33" s="1" t="s">
        <v>253</v>
      </c>
      <c r="B33">
        <v>15.055881700570501</v>
      </c>
      <c r="C33">
        <v>14.8192767656275</v>
      </c>
      <c r="D33">
        <v>14.88708868743187</v>
      </c>
      <c r="E33">
        <v>15.06315728609925</v>
      </c>
      <c r="F33">
        <v>14.784535018082281</v>
      </c>
      <c r="G33">
        <v>15.003581735306311</v>
      </c>
      <c r="H33">
        <v>14.969555992160631</v>
      </c>
      <c r="I33">
        <v>14.955526541139291</v>
      </c>
      <c r="J33">
        <v>14.92426534956132</v>
      </c>
      <c r="K33">
        <v>0.10035035613085611</v>
      </c>
      <c r="L33">
        <v>14.960385582043081</v>
      </c>
      <c r="M33">
        <v>8.9948928787479523E-2</v>
      </c>
    </row>
    <row r="34" spans="1:13" x14ac:dyDescent="0.2">
      <c r="A34" s="1" t="s">
        <v>254</v>
      </c>
      <c r="B34">
        <v>707.20472023275045</v>
      </c>
      <c r="C34">
        <v>719.2798924360593</v>
      </c>
      <c r="D34">
        <v>734.96854233371334</v>
      </c>
      <c r="E34">
        <v>734.31402367532053</v>
      </c>
      <c r="F34">
        <v>725.38115987675371</v>
      </c>
      <c r="G34">
        <v>708.90159683261027</v>
      </c>
      <c r="H34">
        <v>706.14066103851042</v>
      </c>
      <c r="I34">
        <v>677.69020358591695</v>
      </c>
      <c r="J34">
        <v>718.42377087043201</v>
      </c>
      <c r="K34">
        <v>12.23597777980377</v>
      </c>
      <c r="L34">
        <v>710.04642913247676</v>
      </c>
      <c r="M34">
        <v>20.750957580851139</v>
      </c>
    </row>
    <row r="35" spans="1:13" x14ac:dyDescent="0.2">
      <c r="A35" s="1" t="s">
        <v>255</v>
      </c>
      <c r="B35">
        <v>2.964348089845326E-2</v>
      </c>
      <c r="C35">
        <v>3.0118011409301149E-2</v>
      </c>
      <c r="D35">
        <v>3.085464726391372E-2</v>
      </c>
      <c r="E35">
        <v>3.0804029446576911E-2</v>
      </c>
      <c r="F35">
        <v>3.0372388805777039E-2</v>
      </c>
      <c r="G35">
        <v>2.9807052139330849E-2</v>
      </c>
      <c r="H35">
        <v>2.9608496162772509E-2</v>
      </c>
      <c r="I35">
        <v>2.8319352775181859E-2</v>
      </c>
      <c r="J35">
        <v>3.0119753282729131E-2</v>
      </c>
      <c r="K35">
        <v>5.2252107560776838E-4</v>
      </c>
      <c r="L35">
        <v>2.9762111442597688E-2</v>
      </c>
      <c r="M35">
        <v>9.0772106838250897E-4</v>
      </c>
    </row>
    <row r="36" spans="1:13" x14ac:dyDescent="0.2">
      <c r="A36" s="1" t="s">
        <v>256</v>
      </c>
      <c r="B36">
        <v>11975.258653605641</v>
      </c>
      <c r="C36">
        <v>12157.312758231161</v>
      </c>
      <c r="D36">
        <v>12463.555587061181</v>
      </c>
      <c r="E36">
        <v>12402.10999776427</v>
      </c>
      <c r="F36">
        <v>12298.92523723967</v>
      </c>
      <c r="G36">
        <v>12030.94832633331</v>
      </c>
      <c r="H36">
        <v>11962.567174749071</v>
      </c>
      <c r="I36">
        <v>11497.918159533971</v>
      </c>
      <c r="J36">
        <v>12175.076663163891</v>
      </c>
      <c r="K36">
        <v>214.26973563927061</v>
      </c>
      <c r="L36">
        <v>12022.072310465681</v>
      </c>
      <c r="M36">
        <v>330.73213484468653</v>
      </c>
    </row>
    <row r="37" spans="1:13" x14ac:dyDescent="0.2">
      <c r="A37" s="1" t="s">
        <v>257</v>
      </c>
      <c r="B37">
        <v>76.70152141120596</v>
      </c>
      <c r="C37">
        <v>77.878363625858938</v>
      </c>
      <c r="D37">
        <v>79.807103965230482</v>
      </c>
      <c r="E37">
        <v>79.44737426725537</v>
      </c>
      <c r="F37">
        <v>78.755272658009744</v>
      </c>
      <c r="G37">
        <v>77.035345380899926</v>
      </c>
      <c r="H37">
        <v>76.605595479241714</v>
      </c>
      <c r="I37">
        <v>73.626758845833137</v>
      </c>
      <c r="J37">
        <v>77.967373378421968</v>
      </c>
      <c r="K37">
        <v>1.3658526784040581</v>
      </c>
      <c r="L37">
        <v>76.996960529961839</v>
      </c>
      <c r="M37">
        <v>2.1296203705038201</v>
      </c>
    </row>
    <row r="38" spans="1:13" x14ac:dyDescent="0.2">
      <c r="A38" s="1" t="s">
        <v>258</v>
      </c>
      <c r="B38">
        <v>49.081751795440468</v>
      </c>
      <c r="C38">
        <v>49.82985107051752</v>
      </c>
      <c r="D38">
        <v>51.068900071673532</v>
      </c>
      <c r="E38">
        <v>50.830572023364539</v>
      </c>
      <c r="F38">
        <v>50.395779902338433</v>
      </c>
      <c r="G38">
        <v>49.298276914865511</v>
      </c>
      <c r="H38">
        <v>49.017678439327952</v>
      </c>
      <c r="I38">
        <v>47.117230665459438</v>
      </c>
      <c r="J38">
        <v>49.891027552195098</v>
      </c>
      <c r="K38">
        <v>0.87461770656302684</v>
      </c>
      <c r="L38">
        <v>49.26898266855175</v>
      </c>
      <c r="M38">
        <v>1.3586785411813871</v>
      </c>
    </row>
    <row r="39" spans="1:13" x14ac:dyDescent="0.2">
      <c r="A39" s="1" t="s">
        <v>259</v>
      </c>
      <c r="B39">
        <v>78.578302248083375</v>
      </c>
      <c r="C39">
        <v>79.919988048451017</v>
      </c>
      <c r="D39">
        <v>81.663171370412584</v>
      </c>
      <c r="E39">
        <v>81.590447075035584</v>
      </c>
      <c r="F39">
        <v>80.597906652972611</v>
      </c>
      <c r="G39">
        <v>78.76684409251223</v>
      </c>
      <c r="H39">
        <v>78.460073448723364</v>
      </c>
      <c r="I39">
        <v>75.298911509546315</v>
      </c>
      <c r="J39">
        <v>79.824863430047969</v>
      </c>
      <c r="K39">
        <v>1.3595530866448631</v>
      </c>
      <c r="L39">
        <v>78.894047681386297</v>
      </c>
      <c r="M39">
        <v>2.305661953427899</v>
      </c>
    </row>
    <row r="40" spans="1:13" x14ac:dyDescent="0.2">
      <c r="A40" s="1" t="s">
        <v>260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">
      <c r="A41" s="1" t="s">
        <v>261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A42" s="1" t="s">
        <v>262</v>
      </c>
      <c r="B42">
        <v>2.96434808984528E-3</v>
      </c>
      <c r="C42">
        <v>3.0118011409300698E-3</v>
      </c>
      <c r="D42">
        <v>3.0854647263913269E-3</v>
      </c>
      <c r="E42">
        <v>3.080402944657645E-3</v>
      </c>
      <c r="F42">
        <v>3.037238880577661E-3</v>
      </c>
      <c r="G42">
        <v>2.980705213933039E-3</v>
      </c>
      <c r="H42">
        <v>2.960849616277207E-3</v>
      </c>
      <c r="I42">
        <v>2.8319352775181411E-3</v>
      </c>
      <c r="J42">
        <v>3.011975328272869E-3</v>
      </c>
      <c r="K42">
        <v>5.2252107560776631E-5</v>
      </c>
      <c r="L42">
        <v>2.9762111442597238E-3</v>
      </c>
      <c r="M42">
        <v>9.0772106838250748E-5</v>
      </c>
    </row>
    <row r="43" spans="1:13" x14ac:dyDescent="0.2">
      <c r="A43" s="1" t="s">
        <v>263</v>
      </c>
      <c r="B43">
        <v>2264.0639476471169</v>
      </c>
      <c r="C43">
        <v>2306.8423563204678</v>
      </c>
      <c r="D43">
        <v>2357.6284488601841</v>
      </c>
      <c r="E43">
        <v>2363.6547721657989</v>
      </c>
      <c r="F43">
        <v>2321.383674285355</v>
      </c>
      <c r="G43">
        <v>2273.6808035796189</v>
      </c>
      <c r="H43">
        <v>2265.1179868480681</v>
      </c>
      <c r="I43">
        <v>2160.323228063954</v>
      </c>
      <c r="J43">
        <v>2302.0485144101808</v>
      </c>
      <c r="K43">
        <v>39.59061978252781</v>
      </c>
      <c r="L43">
        <v>2276.1252900324598</v>
      </c>
      <c r="M43">
        <v>74.197441792234628</v>
      </c>
    </row>
    <row r="44" spans="1:13" x14ac:dyDescent="0.2">
      <c r="A44" s="1" t="s">
        <v>264</v>
      </c>
      <c r="B44">
        <v>5.9286961796906582E-2</v>
      </c>
      <c r="C44">
        <v>6.0236022818602353E-2</v>
      </c>
      <c r="D44">
        <v>6.1709294527827481E-2</v>
      </c>
      <c r="E44">
        <v>6.1608058893153871E-2</v>
      </c>
      <c r="F44">
        <v>6.074477761155414E-2</v>
      </c>
      <c r="G44">
        <v>5.9614104278661748E-2</v>
      </c>
      <c r="H44">
        <v>5.9216992325545059E-2</v>
      </c>
      <c r="I44">
        <v>5.6638705550363773E-2</v>
      </c>
      <c r="J44">
        <v>6.0239506565458317E-2</v>
      </c>
      <c r="K44">
        <v>1.04504215121553E-3</v>
      </c>
      <c r="L44">
        <v>5.9524222885195432E-2</v>
      </c>
      <c r="M44">
        <v>1.8154421367650149E-3</v>
      </c>
    </row>
    <row r="45" spans="1:13" x14ac:dyDescent="0.2">
      <c r="A45" s="1" t="s">
        <v>265</v>
      </c>
      <c r="B45">
        <v>61864.871739267219</v>
      </c>
      <c r="C45">
        <v>62826.698473994707</v>
      </c>
      <c r="D45">
        <v>64370.812598308417</v>
      </c>
      <c r="E45">
        <v>64100.833613537157</v>
      </c>
      <c r="F45">
        <v>63522.376517625991</v>
      </c>
      <c r="G45">
        <v>62127.520023184348</v>
      </c>
      <c r="H45">
        <v>61794.679249271881</v>
      </c>
      <c r="I45">
        <v>59378.197471822903</v>
      </c>
      <c r="J45">
        <v>62888.185026118372</v>
      </c>
      <c r="K45">
        <v>1100.3758826830001</v>
      </c>
      <c r="L45">
        <v>62108.312395634777</v>
      </c>
      <c r="M45">
        <v>1727.7236318020421</v>
      </c>
    </row>
    <row r="46" spans="1:13" x14ac:dyDescent="0.2">
      <c r="A46" s="1" t="s">
        <v>266</v>
      </c>
      <c r="B46">
        <v>1473.9884367635691</v>
      </c>
      <c r="C46">
        <v>1494.169259419431</v>
      </c>
      <c r="D46">
        <v>1533.5527344483021</v>
      </c>
      <c r="E46">
        <v>1522.6883257328061</v>
      </c>
      <c r="F46">
        <v>1513.3290837007471</v>
      </c>
      <c r="G46">
        <v>1481.77463671598</v>
      </c>
      <c r="H46">
        <v>1470.803264868621</v>
      </c>
      <c r="I46">
        <v>1416.316381936068</v>
      </c>
      <c r="J46">
        <v>1497.9183799453101</v>
      </c>
      <c r="K46">
        <v>26.529081483280649</v>
      </c>
      <c r="L46">
        <v>1478.737150951071</v>
      </c>
      <c r="M46">
        <v>38.972536678635109</v>
      </c>
    </row>
    <row r="47" spans="1:13" x14ac:dyDescent="0.2">
      <c r="A47" s="1" t="s">
        <v>267</v>
      </c>
      <c r="B47">
        <v>4333.5572759247934</v>
      </c>
      <c r="C47">
        <v>4400.6106002032066</v>
      </c>
      <c r="D47">
        <v>4509.0086652795608</v>
      </c>
      <c r="E47">
        <v>4489.623317313376</v>
      </c>
      <c r="F47">
        <v>4449.5929854445321</v>
      </c>
      <c r="G47">
        <v>4352.0611150004479</v>
      </c>
      <c r="H47">
        <v>4328.4304070904273</v>
      </c>
      <c r="I47">
        <v>4159.4561450467081</v>
      </c>
      <c r="J47">
        <v>4405.1473334348284</v>
      </c>
      <c r="K47">
        <v>77.092826120774191</v>
      </c>
      <c r="L47">
        <v>4350.4377943909349</v>
      </c>
      <c r="M47">
        <v>120.7958461520012</v>
      </c>
    </row>
    <row r="48" spans="1:13" x14ac:dyDescent="0.2">
      <c r="A48" s="1" t="s">
        <v>268</v>
      </c>
      <c r="B48">
        <v>2792.3004791238882</v>
      </c>
      <c r="C48">
        <v>2826.7186858316222</v>
      </c>
      <c r="D48">
        <v>2904.9541409993149</v>
      </c>
      <c r="E48">
        <v>2878.1875427789191</v>
      </c>
      <c r="F48">
        <v>2866.6269678302529</v>
      </c>
      <c r="G48">
        <v>2809.195071868583</v>
      </c>
      <c r="H48">
        <v>2784.1649555099252</v>
      </c>
      <c r="I48">
        <v>2685.2621492128678</v>
      </c>
      <c r="J48">
        <v>2837.0116358658452</v>
      </c>
      <c r="K48">
        <v>50.707768273259717</v>
      </c>
      <c r="L48">
        <v>2799.8408624229978</v>
      </c>
      <c r="M48">
        <v>70.845611136504289</v>
      </c>
    </row>
    <row r="49" spans="1:13" x14ac:dyDescent="0.2">
      <c r="A49" s="1" t="s">
        <v>269</v>
      </c>
      <c r="B49">
        <v>49.081751795440468</v>
      </c>
      <c r="C49">
        <v>49.82985107051752</v>
      </c>
      <c r="D49">
        <v>51.068900071673532</v>
      </c>
      <c r="E49">
        <v>50.830572023364539</v>
      </c>
      <c r="F49">
        <v>50.395779902338433</v>
      </c>
      <c r="G49">
        <v>49.298276914865511</v>
      </c>
      <c r="H49">
        <v>49.017678439327952</v>
      </c>
      <c r="I49">
        <v>47.117230665459438</v>
      </c>
      <c r="J49">
        <v>49.891027552195098</v>
      </c>
      <c r="K49">
        <v>0.87461770656302684</v>
      </c>
      <c r="L49">
        <v>49.26898266855175</v>
      </c>
      <c r="M49">
        <v>1.3586785411813871</v>
      </c>
    </row>
    <row r="50" spans="1:13" x14ac:dyDescent="0.2">
      <c r="A50" s="1" t="s">
        <v>270</v>
      </c>
      <c r="B50">
        <v>3700.7624514457361</v>
      </c>
      <c r="C50">
        <v>3055.845514925817</v>
      </c>
      <c r="D50">
        <v>3692.3386124019698</v>
      </c>
      <c r="E50">
        <v>3058.7468395984288</v>
      </c>
      <c r="F50">
        <v>3679.6330749809149</v>
      </c>
      <c r="G50">
        <v>3060.7846939320798</v>
      </c>
      <c r="H50">
        <v>3681.337958972566</v>
      </c>
      <c r="I50">
        <v>3059.2790353710479</v>
      </c>
      <c r="J50">
        <v>3688.5180244502972</v>
      </c>
      <c r="K50">
        <v>8.5880520503936406</v>
      </c>
      <c r="L50">
        <v>3058.6640209568441</v>
      </c>
      <c r="M50">
        <v>1.790693425177992</v>
      </c>
    </row>
    <row r="51" spans="1:13" x14ac:dyDescent="0.2">
      <c r="A51" s="1" t="s">
        <v>271</v>
      </c>
      <c r="B51">
        <v>0.2065259741191959</v>
      </c>
      <c r="C51">
        <v>0.28986839491385052</v>
      </c>
      <c r="D51">
        <v>0.2066052118582741</v>
      </c>
      <c r="E51">
        <v>0.28842483540469971</v>
      </c>
      <c r="F51">
        <v>0.20690152971214429</v>
      </c>
      <c r="G51">
        <v>0.28899022367422178</v>
      </c>
      <c r="H51">
        <v>0.20616416367561369</v>
      </c>
      <c r="I51">
        <v>0.28861981804440912</v>
      </c>
      <c r="J51">
        <v>0.206549219841307</v>
      </c>
      <c r="K51">
        <v>2.6270989959854569E-4</v>
      </c>
      <c r="L51">
        <v>0.28897581800929528</v>
      </c>
      <c r="M51">
        <v>5.5389955300878552E-4</v>
      </c>
    </row>
    <row r="52" spans="1:13" x14ac:dyDescent="0.2">
      <c r="A52" s="1" t="s">
        <v>272</v>
      </c>
      <c r="B52">
        <v>33877.587487983998</v>
      </c>
      <c r="C52">
        <v>28986.795871161441</v>
      </c>
      <c r="D52">
        <v>33805.76732656487</v>
      </c>
      <c r="E52">
        <v>29009.842787017518</v>
      </c>
      <c r="F52">
        <v>33684.908662977658</v>
      </c>
      <c r="G52">
        <v>29060.00327824572</v>
      </c>
      <c r="H52">
        <v>33708.166160657071</v>
      </c>
      <c r="I52">
        <v>29056.199559773369</v>
      </c>
      <c r="J52">
        <v>33769.107409545897</v>
      </c>
      <c r="K52">
        <v>77.322606127782137</v>
      </c>
      <c r="L52">
        <v>29028.210374049511</v>
      </c>
      <c r="M52">
        <v>31.01093588380348</v>
      </c>
    </row>
    <row r="53" spans="1:13" x14ac:dyDescent="0.2">
      <c r="A53" s="1" t="s">
        <v>273</v>
      </c>
      <c r="B53">
        <v>180.48606048409329</v>
      </c>
      <c r="C53">
        <v>184.2168539010525</v>
      </c>
      <c r="D53">
        <v>180.20615075184639</v>
      </c>
      <c r="E53">
        <v>184.258289643159</v>
      </c>
      <c r="F53">
        <v>179.45955568449671</v>
      </c>
      <c r="G53">
        <v>185.21151676140201</v>
      </c>
      <c r="H53">
        <v>179.94792730337431</v>
      </c>
      <c r="I53">
        <v>185.46610871144389</v>
      </c>
      <c r="J53">
        <v>180.02492355595271</v>
      </c>
      <c r="K53">
        <v>0.37784249893713973</v>
      </c>
      <c r="L53">
        <v>184.78819225426429</v>
      </c>
      <c r="M53">
        <v>0.55812154867137853</v>
      </c>
    </row>
    <row r="54" spans="1:13" x14ac:dyDescent="0.2">
      <c r="A54" s="1" t="s">
        <v>274</v>
      </c>
      <c r="B54">
        <v>67.213787352071193</v>
      </c>
      <c r="C54">
        <v>86.786190333897864</v>
      </c>
      <c r="D54">
        <v>67.197711548602499</v>
      </c>
      <c r="E54">
        <v>86.755648050865247</v>
      </c>
      <c r="F54">
        <v>66.859235488058857</v>
      </c>
      <c r="G54">
        <v>87.587050315546975</v>
      </c>
      <c r="H54">
        <v>67.281576595479223</v>
      </c>
      <c r="I54">
        <v>87.8823589080218</v>
      </c>
      <c r="J54">
        <v>67.138077746052943</v>
      </c>
      <c r="K54">
        <v>0.16403738863431741</v>
      </c>
      <c r="L54">
        <v>87.252811902082968</v>
      </c>
      <c r="M54">
        <v>0.49319173061159649</v>
      </c>
    </row>
    <row r="55" spans="1:13" x14ac:dyDescent="0.2">
      <c r="A55" s="1" t="s">
        <v>275</v>
      </c>
      <c r="B55">
        <v>417.38075646042267</v>
      </c>
      <c r="C55">
        <v>340.68224350214052</v>
      </c>
      <c r="D55">
        <v>416.51442494893507</v>
      </c>
      <c r="E55">
        <v>340.95662857851732</v>
      </c>
      <c r="F55">
        <v>415.18594432589703</v>
      </c>
      <c r="G55">
        <v>341.26382753217388</v>
      </c>
      <c r="H55">
        <v>415.31028196508561</v>
      </c>
      <c r="I55">
        <v>341.18425676617068</v>
      </c>
      <c r="J55">
        <v>416.09785192508508</v>
      </c>
      <c r="K55">
        <v>0.90432558328569113</v>
      </c>
      <c r="L55">
        <v>341.02173909475061</v>
      </c>
      <c r="M55">
        <v>0.2261169176464386</v>
      </c>
    </row>
    <row r="56" spans="1:13" x14ac:dyDescent="0.2">
      <c r="A56" s="1" t="s">
        <v>276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1" t="s">
        <v>277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">
      <c r="A58" s="1" t="s">
        <v>278</v>
      </c>
      <c r="B58">
        <v>2.0652597411919549E-2</v>
      </c>
      <c r="C58">
        <v>2.8986839491385009E-2</v>
      </c>
      <c r="D58">
        <v>2.0660521185827369E-2</v>
      </c>
      <c r="E58">
        <v>2.8842483540469921E-2</v>
      </c>
      <c r="F58">
        <v>2.069015297121439E-2</v>
      </c>
      <c r="G58">
        <v>2.8899022367422141E-2</v>
      </c>
      <c r="H58">
        <v>2.0616416367561331E-2</v>
      </c>
      <c r="I58">
        <v>2.886198180444086E-2</v>
      </c>
      <c r="J58">
        <v>2.0654921984130659E-2</v>
      </c>
      <c r="K58">
        <v>2.6270989959855171E-5</v>
      </c>
      <c r="L58">
        <v>2.8897581800929481E-2</v>
      </c>
      <c r="M58">
        <v>5.5389955300878368E-5</v>
      </c>
    </row>
    <row r="59" spans="1:13" x14ac:dyDescent="0.2">
      <c r="A59" s="1" t="s">
        <v>279</v>
      </c>
      <c r="B59">
        <v>32373.046812575059</v>
      </c>
      <c r="C59">
        <v>38832.636435633787</v>
      </c>
      <c r="D59">
        <v>32298.764562282529</v>
      </c>
      <c r="E59">
        <v>38792.673546233877</v>
      </c>
      <c r="F59">
        <v>32226.47130254926</v>
      </c>
      <c r="G59">
        <v>38887.06743626696</v>
      </c>
      <c r="H59">
        <v>32183.58523763248</v>
      </c>
      <c r="I59">
        <v>38821.562337561962</v>
      </c>
      <c r="J59">
        <v>32270.466978759829</v>
      </c>
      <c r="K59">
        <v>72.12390727998735</v>
      </c>
      <c r="L59">
        <v>38833.484938924143</v>
      </c>
      <c r="M59">
        <v>34.203516543943671</v>
      </c>
    </row>
    <row r="60" spans="1:13" x14ac:dyDescent="0.2">
      <c r="A60" s="1" t="s">
        <v>280</v>
      </c>
      <c r="B60">
        <v>0.41305194823839181</v>
      </c>
      <c r="C60">
        <v>0.57973678982770116</v>
      </c>
      <c r="D60">
        <v>0.4132104237165482</v>
      </c>
      <c r="E60">
        <v>0.57684967080939931</v>
      </c>
      <c r="F60">
        <v>0.41380305942428858</v>
      </c>
      <c r="G60">
        <v>0.57798044734844367</v>
      </c>
      <c r="H60">
        <v>0.41232832735122737</v>
      </c>
      <c r="I60">
        <v>0.57723963608881834</v>
      </c>
      <c r="J60">
        <v>0.413098439682614</v>
      </c>
      <c r="K60">
        <v>5.2541979919709138E-4</v>
      </c>
      <c r="L60">
        <v>0.57795163601859056</v>
      </c>
      <c r="M60">
        <v>1.1077991060175979E-3</v>
      </c>
    </row>
    <row r="61" spans="1:13" x14ac:dyDescent="0.2">
      <c r="A61" s="1" t="s">
        <v>281</v>
      </c>
      <c r="B61">
        <v>123382.2269970589</v>
      </c>
      <c r="C61">
        <v>116737.64345739</v>
      </c>
      <c r="D61">
        <v>123219.4869738212</v>
      </c>
      <c r="E61">
        <v>116688.5333042163</v>
      </c>
      <c r="F61">
        <v>122925.526458074</v>
      </c>
      <c r="G61">
        <v>117498.5844103978</v>
      </c>
      <c r="H61">
        <v>122926.15984090351</v>
      </c>
      <c r="I61">
        <v>117829.6382201377</v>
      </c>
      <c r="J61">
        <v>123113.3500674644</v>
      </c>
      <c r="K61">
        <v>196.1362634264251</v>
      </c>
      <c r="L61">
        <v>117188.5998480355</v>
      </c>
      <c r="M61">
        <v>490.01245849511241</v>
      </c>
    </row>
    <row r="62" spans="1:13" x14ac:dyDescent="0.2">
      <c r="A62" s="1" t="s">
        <v>282</v>
      </c>
      <c r="B62">
        <v>4295.8101701920177</v>
      </c>
      <c r="C62">
        <v>3530.0334076233289</v>
      </c>
      <c r="D62">
        <v>4285.9682398692676</v>
      </c>
      <c r="E62">
        <v>3533.3095837389442</v>
      </c>
      <c r="F62">
        <v>4271.4851729380989</v>
      </c>
      <c r="G62">
        <v>3536.8824146223069</v>
      </c>
      <c r="H62">
        <v>4272.3039403613111</v>
      </c>
      <c r="I62">
        <v>3535.5179375562839</v>
      </c>
      <c r="J62">
        <v>4281.3918808401741</v>
      </c>
      <c r="K62">
        <v>10.118839525867781</v>
      </c>
      <c r="L62">
        <v>3533.935835885216</v>
      </c>
      <c r="M62">
        <v>2.588750183068858</v>
      </c>
    </row>
    <row r="63" spans="1:13" x14ac:dyDescent="0.2">
      <c r="A63" s="1" t="s">
        <v>283</v>
      </c>
      <c r="B63">
        <v>3252.9645095413312</v>
      </c>
      <c r="C63">
        <v>4253.9962599732035</v>
      </c>
      <c r="D63">
        <v>3259.810654951762</v>
      </c>
      <c r="E63">
        <v>4239.6589620882114</v>
      </c>
      <c r="F63">
        <v>3255.7949166116819</v>
      </c>
      <c r="G63">
        <v>4269.8693681140476</v>
      </c>
      <c r="H63">
        <v>3264.9401104693661</v>
      </c>
      <c r="I63">
        <v>4281.4752368437976</v>
      </c>
      <c r="J63">
        <v>3258.3775478935349</v>
      </c>
      <c r="K63">
        <v>4.5025546066224544</v>
      </c>
      <c r="L63">
        <v>4261.2499567548148</v>
      </c>
      <c r="M63">
        <v>15.828324094407339</v>
      </c>
    </row>
    <row r="64" spans="1:13" x14ac:dyDescent="0.2">
      <c r="A64" s="1" t="s">
        <v>284</v>
      </c>
      <c r="B64">
        <v>6664.9242988082487</v>
      </c>
      <c r="C64">
        <v>6800.2960469875152</v>
      </c>
      <c r="D64">
        <v>6654.3119697475722</v>
      </c>
      <c r="E64">
        <v>6799.0254962725649</v>
      </c>
      <c r="F64">
        <v>6628.5984363532516</v>
      </c>
      <c r="G64">
        <v>6829.0916956005467</v>
      </c>
      <c r="H64">
        <v>6645.1667545008268</v>
      </c>
      <c r="I64">
        <v>6837.1752485764446</v>
      </c>
      <c r="J64">
        <v>6648.2503648524753</v>
      </c>
      <c r="K64">
        <v>13.32732225547533</v>
      </c>
      <c r="L64">
        <v>6816.3971218592678</v>
      </c>
      <c r="M64">
        <v>16.984557249882901</v>
      </c>
    </row>
    <row r="65" spans="1:13" x14ac:dyDescent="0.2">
      <c r="A65" s="1" t="s">
        <v>285</v>
      </c>
      <c r="B65">
        <v>67.213787352071193</v>
      </c>
      <c r="C65">
        <v>86.786190333897864</v>
      </c>
      <c r="D65">
        <v>67.197711548602499</v>
      </c>
      <c r="E65">
        <v>86.755648050865247</v>
      </c>
      <c r="F65">
        <v>66.859235488058857</v>
      </c>
      <c r="G65">
        <v>87.587050315546975</v>
      </c>
      <c r="H65">
        <v>67.281576595479223</v>
      </c>
      <c r="I65">
        <v>87.8823589080218</v>
      </c>
      <c r="J65">
        <v>67.138077746052943</v>
      </c>
      <c r="K65">
        <v>0.16403738863431741</v>
      </c>
      <c r="L65">
        <v>87.252811902082968</v>
      </c>
      <c r="M65">
        <v>0.49319173061159649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60" customWidth="1"/>
    <col min="2" max="12" width="20" customWidth="1"/>
    <col min="13" max="13" width="2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286</v>
      </c>
      <c r="B2">
        <v>47.292607802874741</v>
      </c>
      <c r="C2">
        <v>47.41581108829569</v>
      </c>
      <c r="D2">
        <v>49.108829568788501</v>
      </c>
      <c r="E2">
        <v>47.97227926078029</v>
      </c>
      <c r="F2">
        <v>47.798767967145793</v>
      </c>
      <c r="G2">
        <v>47.869609856262826</v>
      </c>
      <c r="H2">
        <v>46.992813141683783</v>
      </c>
      <c r="I2">
        <v>45.373716632443532</v>
      </c>
      <c r="J2">
        <v>47.798254620123203</v>
      </c>
      <c r="K2">
        <v>0.80963288572327696</v>
      </c>
      <c r="L2">
        <v>47.157854209445588</v>
      </c>
      <c r="M2">
        <v>1.051139014359497</v>
      </c>
    </row>
    <row r="3" spans="1:13" x14ac:dyDescent="0.2">
      <c r="A3" s="1" t="s">
        <v>287</v>
      </c>
      <c r="B3">
        <v>47.292607802874741</v>
      </c>
      <c r="C3">
        <v>47.41581108829569</v>
      </c>
      <c r="D3">
        <v>49.108829568788501</v>
      </c>
      <c r="E3">
        <v>47.97227926078029</v>
      </c>
      <c r="F3">
        <v>47.798767967145793</v>
      </c>
      <c r="G3">
        <v>47.869609856262826</v>
      </c>
      <c r="H3">
        <v>46.992813141683783</v>
      </c>
      <c r="I3">
        <v>45.373716632443532</v>
      </c>
      <c r="J3">
        <v>47.798254620123203</v>
      </c>
      <c r="K3">
        <v>0.80963288572327696</v>
      </c>
      <c r="L3">
        <v>47.157854209445588</v>
      </c>
      <c r="M3">
        <v>1.051139014359497</v>
      </c>
    </row>
    <row r="4" spans="1:13" x14ac:dyDescent="0.2">
      <c r="A4" s="1" t="s">
        <v>288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289</v>
      </c>
      <c r="B5">
        <v>94.585215605749482</v>
      </c>
      <c r="C5">
        <v>94.831622176591381</v>
      </c>
      <c r="D5">
        <v>98.217659137577002</v>
      </c>
      <c r="E5">
        <v>95.94455852156058</v>
      </c>
      <c r="F5">
        <v>95.597535934291585</v>
      </c>
      <c r="G5">
        <v>95.739219712525667</v>
      </c>
      <c r="H5">
        <v>93.985626283367552</v>
      </c>
      <c r="I5">
        <v>90.747433264887064</v>
      </c>
      <c r="J5">
        <v>95.596509240246405</v>
      </c>
      <c r="K5">
        <v>1.6192657714465539</v>
      </c>
      <c r="L5">
        <v>94.315708418891177</v>
      </c>
      <c r="M5">
        <v>2.1022780287189939</v>
      </c>
    </row>
    <row r="6" spans="1:13" x14ac:dyDescent="0.2">
      <c r="A6" s="1" t="s">
        <v>290</v>
      </c>
      <c r="B6">
        <v>378.70006921330167</v>
      </c>
      <c r="C6">
        <v>384.58086966288732</v>
      </c>
      <c r="D6">
        <v>394.03016529457511</v>
      </c>
      <c r="E6">
        <v>392.37216989995812</v>
      </c>
      <c r="F6">
        <v>388.83928008892258</v>
      </c>
      <c r="G6">
        <v>380.3025380459984</v>
      </c>
      <c r="H6">
        <v>378.26231793402252</v>
      </c>
      <c r="I6">
        <v>363.46984999246041</v>
      </c>
      <c r="J6">
        <v>384.95795813270553</v>
      </c>
      <c r="K6">
        <v>6.7335424241907793</v>
      </c>
      <c r="L6">
        <v>380.18135690032602</v>
      </c>
      <c r="M6">
        <v>10.574270449322331</v>
      </c>
    </row>
    <row r="7" spans="1:13" x14ac:dyDescent="0.2">
      <c r="A7" s="1" t="s">
        <v>291</v>
      </c>
      <c r="B7">
        <v>926.06339565874782</v>
      </c>
      <c r="C7">
        <v>940.44415361542872</v>
      </c>
      <c r="D7">
        <v>963.55121778217824</v>
      </c>
      <c r="E7">
        <v>959.49679854661986</v>
      </c>
      <c r="F7">
        <v>950.85756079392502</v>
      </c>
      <c r="G7">
        <v>929.98203166989856</v>
      </c>
      <c r="H7">
        <v>924.99292995488543</v>
      </c>
      <c r="I7">
        <v>888.8198098374437</v>
      </c>
      <c r="J7">
        <v>941.3662760474341</v>
      </c>
      <c r="K7">
        <v>16.466031218616269</v>
      </c>
      <c r="L7">
        <v>929.68569841734768</v>
      </c>
      <c r="M7">
        <v>25.858048611545989</v>
      </c>
    </row>
    <row r="8" spans="1:13" x14ac:dyDescent="0.2">
      <c r="A8" s="1" t="s">
        <v>292</v>
      </c>
      <c r="B8">
        <v>96.479608521101497</v>
      </c>
      <c r="C8">
        <v>97.977831973622628</v>
      </c>
      <c r="D8">
        <v>100.38518390582389</v>
      </c>
      <c r="E8">
        <v>99.962784335275259</v>
      </c>
      <c r="F8">
        <v>99.06272686598308</v>
      </c>
      <c r="G8">
        <v>96.887861854582596</v>
      </c>
      <c r="H8">
        <v>96.368084717733311</v>
      </c>
      <c r="I8">
        <v>92.599478287246995</v>
      </c>
      <c r="J8">
        <v>98.073901002660435</v>
      </c>
      <c r="K8">
        <v>1.7154724539546931</v>
      </c>
      <c r="L8">
        <v>96.856989112681873</v>
      </c>
      <c r="M8">
        <v>2.6939563952713401</v>
      </c>
    </row>
    <row r="9" spans="1:13" x14ac:dyDescent="0.2">
      <c r="A9" s="1" t="s">
        <v>293</v>
      </c>
      <c r="B9">
        <v>535.56746189998307</v>
      </c>
      <c r="C9">
        <v>543.88424245211672</v>
      </c>
      <c r="D9">
        <v>557.2476814626209</v>
      </c>
      <c r="E9">
        <v>554.90290136479427</v>
      </c>
      <c r="F9">
        <v>549.90659694584042</v>
      </c>
      <c r="G9">
        <v>537.83371489350407</v>
      </c>
      <c r="H9">
        <v>534.94838268493561</v>
      </c>
      <c r="I9">
        <v>514.02849078431632</v>
      </c>
      <c r="J9">
        <v>544.41753074834503</v>
      </c>
      <c r="K9">
        <v>9.5227503739602106</v>
      </c>
      <c r="L9">
        <v>537.66233737368282</v>
      </c>
      <c r="M9">
        <v>14.95440758104999</v>
      </c>
    </row>
    <row r="10" spans="1:13" x14ac:dyDescent="0.2">
      <c r="A10" s="1" t="s">
        <v>294</v>
      </c>
      <c r="B10">
        <v>135.21229807336849</v>
      </c>
      <c r="C10">
        <v>137.31199809442001</v>
      </c>
      <c r="D10">
        <v>140.68580518188449</v>
      </c>
      <c r="E10">
        <v>140.09382914140761</v>
      </c>
      <c r="F10">
        <v>138.8324347318887</v>
      </c>
      <c r="G10">
        <v>135.78444873050989</v>
      </c>
      <c r="H10">
        <v>135.05600194018101</v>
      </c>
      <c r="I10">
        <v>129.77445132227319</v>
      </c>
      <c r="J10">
        <v>137.4466349818307</v>
      </c>
      <c r="K10">
        <v>2.4041657748854162</v>
      </c>
      <c r="L10">
        <v>135.7411818221527</v>
      </c>
      <c r="M10">
        <v>3.7754717364386492</v>
      </c>
    </row>
    <row r="11" spans="1:13" x14ac:dyDescent="0.2">
      <c r="A11" s="1" t="s">
        <v>295</v>
      </c>
      <c r="B11">
        <v>1070.7828084404</v>
      </c>
      <c r="C11">
        <v>1087.4109015758629</v>
      </c>
      <c r="D11">
        <v>1114.1289936409139</v>
      </c>
      <c r="E11">
        <v>1109.4409750495331</v>
      </c>
      <c r="F11">
        <v>1099.4516510929</v>
      </c>
      <c r="G11">
        <v>1075.313824451772</v>
      </c>
      <c r="H11">
        <v>1069.5450570314849</v>
      </c>
      <c r="I11">
        <v>1027.719027268314</v>
      </c>
      <c r="J11">
        <v>1088.4771275514249</v>
      </c>
      <c r="K11">
        <v>19.039239899548281</v>
      </c>
      <c r="L11">
        <v>1074.9711820863699</v>
      </c>
      <c r="M11">
        <v>29.898983204452961</v>
      </c>
    </row>
    <row r="12" spans="1:13" x14ac:dyDescent="0.2">
      <c r="A12" s="1" t="s">
        <v>296</v>
      </c>
      <c r="B12">
        <v>378.70006921330167</v>
      </c>
      <c r="C12">
        <v>384.58086966288732</v>
      </c>
      <c r="D12">
        <v>394.03016529457511</v>
      </c>
      <c r="E12">
        <v>392.37216989995812</v>
      </c>
      <c r="F12">
        <v>388.83928008892258</v>
      </c>
      <c r="G12">
        <v>380.3025380459984</v>
      </c>
      <c r="H12">
        <v>378.26231793402252</v>
      </c>
      <c r="I12">
        <v>363.46984999246041</v>
      </c>
      <c r="J12">
        <v>384.95795813270553</v>
      </c>
      <c r="K12">
        <v>6.7335424241907793</v>
      </c>
      <c r="L12">
        <v>380.18135690032602</v>
      </c>
      <c r="M12">
        <v>10.574270449322331</v>
      </c>
    </row>
    <row r="13" spans="1:13" x14ac:dyDescent="0.2">
      <c r="A13" s="1" t="s">
        <v>297</v>
      </c>
      <c r="B13">
        <v>535.56746189998307</v>
      </c>
      <c r="C13">
        <v>543.88424245211695</v>
      </c>
      <c r="D13">
        <v>557.24768146262102</v>
      </c>
      <c r="E13">
        <v>554.9029013647945</v>
      </c>
      <c r="F13">
        <v>549.90659694584042</v>
      </c>
      <c r="G13">
        <v>537.83371489350452</v>
      </c>
      <c r="H13">
        <v>534.94838268493584</v>
      </c>
      <c r="I13">
        <v>514.02849078431575</v>
      </c>
      <c r="J13">
        <v>544.41753074834503</v>
      </c>
      <c r="K13">
        <v>9.5227503739601929</v>
      </c>
      <c r="L13">
        <v>537.66233737368293</v>
      </c>
      <c r="M13">
        <v>14.954407581050299</v>
      </c>
    </row>
    <row r="14" spans="1:13" x14ac:dyDescent="0.2">
      <c r="A14" s="1" t="s">
        <v>298</v>
      </c>
      <c r="B14">
        <v>3521.5057110202042</v>
      </c>
      <c r="C14">
        <v>3576.190867037225</v>
      </c>
      <c r="D14">
        <v>3664.0592125625722</v>
      </c>
      <c r="E14">
        <v>3648.6416282375458</v>
      </c>
      <c r="F14">
        <v>3615.7895306083819</v>
      </c>
      <c r="G14">
        <v>3536.4069576922652</v>
      </c>
      <c r="H14">
        <v>3517.4350921972659</v>
      </c>
      <c r="I14">
        <v>3379.880957484515</v>
      </c>
      <c r="J14">
        <v>3579.6973865971058</v>
      </c>
      <c r="K14">
        <v>62.614744569346563</v>
      </c>
      <c r="L14">
        <v>3535.2801026128882</v>
      </c>
      <c r="M14">
        <v>98.329408427403592</v>
      </c>
    </row>
    <row r="15" spans="1:13" x14ac:dyDescent="0.2">
      <c r="A15" s="1" t="s">
        <v>299</v>
      </c>
      <c r="B15">
        <v>158.96614780055279</v>
      </c>
      <c r="C15">
        <v>156.01609642253621</v>
      </c>
      <c r="D15">
        <v>157.22010866294869</v>
      </c>
      <c r="E15">
        <v>158.55351388396559</v>
      </c>
      <c r="F15">
        <v>156.15048198322259</v>
      </c>
      <c r="G15">
        <v>157.91326183733389</v>
      </c>
      <c r="H15">
        <v>158.04363273434831</v>
      </c>
      <c r="I15">
        <v>157.31154823343491</v>
      </c>
      <c r="J15">
        <v>157.5950927952681</v>
      </c>
      <c r="K15">
        <v>1.037845533092028</v>
      </c>
      <c r="L15">
        <v>157.44860509431771</v>
      </c>
      <c r="M15">
        <v>0.93642872127510912</v>
      </c>
    </row>
    <row r="16" spans="1:13" x14ac:dyDescent="0.2">
      <c r="A16" s="1" t="s">
        <v>300</v>
      </c>
      <c r="B16">
        <v>171.37740853792221</v>
      </c>
      <c r="C16">
        <v>168.1970322929588</v>
      </c>
      <c r="D16">
        <v>169.49504762807729</v>
      </c>
      <c r="E16">
        <v>170.9325582834623</v>
      </c>
      <c r="F16">
        <v>168.3419099883298</v>
      </c>
      <c r="G16">
        <v>170.24231864388511</v>
      </c>
      <c r="H16">
        <v>170.38286823125461</v>
      </c>
      <c r="I16">
        <v>169.59362633080471</v>
      </c>
      <c r="J16">
        <v>169.899308596396</v>
      </c>
      <c r="K16">
        <v>1.118875184338785</v>
      </c>
      <c r="L16">
        <v>169.74138388777769</v>
      </c>
      <c r="M16">
        <v>1.009540268497656</v>
      </c>
    </row>
    <row r="17" spans="1:13" x14ac:dyDescent="0.2">
      <c r="A17" s="1" t="s">
        <v>301</v>
      </c>
      <c r="B17">
        <v>23.009003924072879</v>
      </c>
      <c r="C17">
        <v>22.58200896525835</v>
      </c>
      <c r="D17">
        <v>22.756279542658529</v>
      </c>
      <c r="E17">
        <v>22.949278658427811</v>
      </c>
      <c r="F17">
        <v>22.601460137322061</v>
      </c>
      <c r="G17">
        <v>22.856607595706791</v>
      </c>
      <c r="H17">
        <v>22.875477679196219</v>
      </c>
      <c r="I17">
        <v>22.769514646265439</v>
      </c>
      <c r="J17">
        <v>22.810555320812419</v>
      </c>
      <c r="K17">
        <v>0.1502193534528917</v>
      </c>
      <c r="L17">
        <v>22.789352466414599</v>
      </c>
      <c r="M17">
        <v>0.1355401286408896</v>
      </c>
    </row>
    <row r="18" spans="1:13" x14ac:dyDescent="0.2">
      <c r="A18" s="1" t="s">
        <v>302</v>
      </c>
      <c r="B18">
        <v>213.76838128473631</v>
      </c>
      <c r="C18">
        <v>209.8013246723018</v>
      </c>
      <c r="D18">
        <v>211.420409938197</v>
      </c>
      <c r="E18">
        <v>213.21349531918651</v>
      </c>
      <c r="F18">
        <v>209.98203851718921</v>
      </c>
      <c r="G18">
        <v>212.3525218005075</v>
      </c>
      <c r="H18">
        <v>212.52783696041419</v>
      </c>
      <c r="I18">
        <v>211.54337252638729</v>
      </c>
      <c r="J18">
        <v>211.92466667513409</v>
      </c>
      <c r="K18">
        <v>1.395633993163337</v>
      </c>
      <c r="L18">
        <v>211.72767857959579</v>
      </c>
      <c r="M18">
        <v>1.25925459417103</v>
      </c>
    </row>
    <row r="19" spans="1:13" x14ac:dyDescent="0.2">
      <c r="A19" s="1" t="s">
        <v>303</v>
      </c>
      <c r="B19">
        <v>23.009003924072879</v>
      </c>
      <c r="C19">
        <v>22.58200896525835</v>
      </c>
      <c r="D19">
        <v>22.756279542658529</v>
      </c>
      <c r="E19">
        <v>22.949278658427811</v>
      </c>
      <c r="F19">
        <v>22.601460137322061</v>
      </c>
      <c r="G19">
        <v>22.856607595706791</v>
      </c>
      <c r="H19">
        <v>22.875477679196219</v>
      </c>
      <c r="I19">
        <v>22.769514646265439</v>
      </c>
      <c r="J19">
        <v>22.810555320812419</v>
      </c>
      <c r="K19">
        <v>0.1502193534528917</v>
      </c>
      <c r="L19">
        <v>22.789352466414599</v>
      </c>
      <c r="M19">
        <v>0.1355401286408896</v>
      </c>
    </row>
    <row r="20" spans="1:13" x14ac:dyDescent="0.2">
      <c r="A20" s="1" t="s">
        <v>304</v>
      </c>
      <c r="B20">
        <v>384.2390310473254</v>
      </c>
      <c r="C20">
        <v>377.10842557746707</v>
      </c>
      <c r="D20">
        <v>380.01865837247499</v>
      </c>
      <c r="E20">
        <v>383.2416485323659</v>
      </c>
      <c r="F20">
        <v>377.43325056907292</v>
      </c>
      <c r="G20">
        <v>381.69408743569471</v>
      </c>
      <c r="H20">
        <v>382.00920853436071</v>
      </c>
      <c r="I20">
        <v>380.23967808295492</v>
      </c>
      <c r="J20">
        <v>380.92503713080839</v>
      </c>
      <c r="K20">
        <v>2.5085892029817769</v>
      </c>
      <c r="L20">
        <v>380.57095990712071</v>
      </c>
      <c r="M20">
        <v>2.2634533797665992</v>
      </c>
    </row>
    <row r="21" spans="1:13" x14ac:dyDescent="0.2">
      <c r="A21" s="1" t="s">
        <v>305</v>
      </c>
      <c r="B21">
        <v>158.96614780055279</v>
      </c>
      <c r="C21">
        <v>156.01609642253621</v>
      </c>
      <c r="D21">
        <v>157.22010866294869</v>
      </c>
      <c r="E21">
        <v>158.55351388396559</v>
      </c>
      <c r="F21">
        <v>156.15048198322259</v>
      </c>
      <c r="G21">
        <v>157.91326183733389</v>
      </c>
      <c r="H21">
        <v>158.04363273434831</v>
      </c>
      <c r="I21">
        <v>157.31154823343491</v>
      </c>
      <c r="J21">
        <v>157.5950927952681</v>
      </c>
      <c r="K21">
        <v>1.037845533092028</v>
      </c>
      <c r="L21">
        <v>157.44860509431771</v>
      </c>
      <c r="M21">
        <v>0.93642872127510912</v>
      </c>
    </row>
    <row r="22" spans="1:13" x14ac:dyDescent="0.2">
      <c r="A22" s="1" t="s">
        <v>306</v>
      </c>
      <c r="B22">
        <v>213.76838128473631</v>
      </c>
      <c r="C22">
        <v>209.8013246723018</v>
      </c>
      <c r="D22">
        <v>211.42040993819691</v>
      </c>
      <c r="E22">
        <v>213.21349531918651</v>
      </c>
      <c r="F22">
        <v>209.98203851718921</v>
      </c>
      <c r="G22">
        <v>212.3525218005075</v>
      </c>
      <c r="H22">
        <v>212.52783696041419</v>
      </c>
      <c r="I22">
        <v>211.54337252638729</v>
      </c>
      <c r="J22">
        <v>211.9246666751342</v>
      </c>
      <c r="K22">
        <v>1.3956339931633279</v>
      </c>
      <c r="L22">
        <v>211.72767857959579</v>
      </c>
      <c r="M22">
        <v>1.25925459417102</v>
      </c>
    </row>
    <row r="23" spans="1:13" x14ac:dyDescent="0.2">
      <c r="A23" s="1" t="s">
        <v>307</v>
      </c>
      <c r="B23">
        <v>1133.3351243192351</v>
      </c>
      <c r="C23">
        <v>1112.302993318317</v>
      </c>
      <c r="D23">
        <v>1120.886892349964</v>
      </c>
      <c r="E23">
        <v>1130.393287219802</v>
      </c>
      <c r="F23">
        <v>1113.2610833156809</v>
      </c>
      <c r="G23">
        <v>1125.8286667461689</v>
      </c>
      <c r="H23">
        <v>1126.758134553118</v>
      </c>
      <c r="I23">
        <v>1121.5388026995479</v>
      </c>
      <c r="J23">
        <v>1123.5603086345</v>
      </c>
      <c r="K23">
        <v>7.3992281535737492</v>
      </c>
      <c r="L23">
        <v>1122.515937495959</v>
      </c>
      <c r="M23">
        <v>6.6761859422673391</v>
      </c>
    </row>
    <row r="24" spans="1:13" x14ac:dyDescent="0.2">
      <c r="A24" s="1" t="s">
        <v>45</v>
      </c>
      <c r="B24">
        <v>2812.7552526440791</v>
      </c>
      <c r="C24">
        <v>1936.3873398877481</v>
      </c>
      <c r="D24">
        <v>2806.3834217720741</v>
      </c>
      <c r="E24">
        <v>1944.020230028063</v>
      </c>
      <c r="F24">
        <v>2794.928867018481</v>
      </c>
      <c r="G24">
        <v>2001.1101675154</v>
      </c>
      <c r="H24">
        <v>2793.826934312799</v>
      </c>
      <c r="I24">
        <v>2032.156694657084</v>
      </c>
      <c r="J24">
        <v>2801.9736189368582</v>
      </c>
      <c r="K24">
        <v>7.9323229005997931</v>
      </c>
      <c r="L24">
        <v>1978.4186080220741</v>
      </c>
      <c r="M24">
        <v>39.851489109660228</v>
      </c>
    </row>
    <row r="25" spans="1:13" x14ac:dyDescent="0.2">
      <c r="A25" s="1" t="s">
        <v>46</v>
      </c>
      <c r="B25">
        <v>539.05743137576997</v>
      </c>
      <c r="C25">
        <v>924.46738492128679</v>
      </c>
      <c r="D25">
        <v>540.05190856741956</v>
      </c>
      <c r="E25">
        <v>923.50450539493488</v>
      </c>
      <c r="F25">
        <v>533.58585425530464</v>
      </c>
      <c r="G25">
        <v>924.57351845448318</v>
      </c>
      <c r="H25">
        <v>544.97679365913757</v>
      </c>
      <c r="I25">
        <v>922.74033115468842</v>
      </c>
      <c r="J25">
        <v>539.41799696440796</v>
      </c>
      <c r="K25">
        <v>4.0449338912034909</v>
      </c>
      <c r="L25">
        <v>923.82143498134838</v>
      </c>
      <c r="M25">
        <v>0.75035170457459177</v>
      </c>
    </row>
    <row r="26" spans="1:13" x14ac:dyDescent="0.2">
      <c r="A26" s="1" t="s">
        <v>47</v>
      </c>
      <c r="B26">
        <v>689.38977627583847</v>
      </c>
      <c r="C26">
        <v>685.53741294524298</v>
      </c>
      <c r="D26">
        <v>687.82809975290888</v>
      </c>
      <c r="E26">
        <v>684.82333888501023</v>
      </c>
      <c r="F26">
        <v>685.02062736071196</v>
      </c>
      <c r="G26">
        <v>685.61611241615333</v>
      </c>
      <c r="H26">
        <v>684.75055183778238</v>
      </c>
      <c r="I26">
        <v>684.25672180355923</v>
      </c>
      <c r="J26">
        <v>686.74726380681045</v>
      </c>
      <c r="K26">
        <v>1.9441714556336489</v>
      </c>
      <c r="L26">
        <v>685.05839651249153</v>
      </c>
      <c r="M26">
        <v>0.55642569118033236</v>
      </c>
    </row>
    <row r="27" spans="1:13" x14ac:dyDescent="0.2">
      <c r="A27" s="1" t="s">
        <v>48</v>
      </c>
      <c r="B27">
        <v>648.83742286242295</v>
      </c>
      <c r="C27">
        <v>1231.9510895544149</v>
      </c>
      <c r="D27">
        <v>648.3672119555099</v>
      </c>
      <c r="E27">
        <v>1230.6679083196441</v>
      </c>
      <c r="F27">
        <v>644.72530952292948</v>
      </c>
      <c r="G27">
        <v>1232.0925234373719</v>
      </c>
      <c r="H27">
        <v>646.72130810677618</v>
      </c>
      <c r="I27">
        <v>1229.649665807666</v>
      </c>
      <c r="J27">
        <v>647.1628131119096</v>
      </c>
      <c r="K27">
        <v>1.611772689217448</v>
      </c>
      <c r="L27">
        <v>1231.090296779774</v>
      </c>
      <c r="M27">
        <v>0.99990650601954689</v>
      </c>
    </row>
    <row r="28" spans="1:13" x14ac:dyDescent="0.2">
      <c r="A28" s="1" t="s">
        <v>49</v>
      </c>
      <c r="B28">
        <v>6249.6084793524988</v>
      </c>
      <c r="C28">
        <v>3979.7827995119778</v>
      </c>
      <c r="D28">
        <v>6234.8745701293637</v>
      </c>
      <c r="E28">
        <v>3981.7499565496241</v>
      </c>
      <c r="F28">
        <v>6217.7932769411364</v>
      </c>
      <c r="G28">
        <v>3932.5667904065708</v>
      </c>
      <c r="H28">
        <v>6215.3419227488021</v>
      </c>
      <c r="I28">
        <v>3906.5480248028748</v>
      </c>
      <c r="J28">
        <v>6229.4045622929507</v>
      </c>
      <c r="K28">
        <v>13.88073330870373</v>
      </c>
      <c r="L28">
        <v>3950.1618928177618</v>
      </c>
      <c r="M28">
        <v>31.964671888648962</v>
      </c>
    </row>
    <row r="29" spans="1:13" x14ac:dyDescent="0.2">
      <c r="A29" s="1" t="s">
        <v>50</v>
      </c>
      <c r="B29">
        <v>1085.852421085558</v>
      </c>
      <c r="C29">
        <v>1694.688810639288</v>
      </c>
      <c r="D29">
        <v>1082.471270516769</v>
      </c>
      <c r="E29">
        <v>1692.9237247624919</v>
      </c>
      <c r="F29">
        <v>1083.3787639808349</v>
      </c>
      <c r="G29">
        <v>1694.8833997104721</v>
      </c>
      <c r="H29">
        <v>1079.2856658507869</v>
      </c>
      <c r="I29">
        <v>1691.522924594798</v>
      </c>
      <c r="J29">
        <v>1082.7470303584871</v>
      </c>
      <c r="K29">
        <v>2.350512001822715</v>
      </c>
      <c r="L29">
        <v>1693.5047149267621</v>
      </c>
      <c r="M29">
        <v>1.3754905379629461</v>
      </c>
    </row>
    <row r="30" spans="1:13" x14ac:dyDescent="0.2">
      <c r="A30" s="1" t="s">
        <v>51</v>
      </c>
      <c r="B30">
        <v>1624.9098524613289</v>
      </c>
      <c r="C30">
        <v>2619.156195560573</v>
      </c>
      <c r="D30">
        <v>1622.5231790841899</v>
      </c>
      <c r="E30">
        <v>2616.4282301574221</v>
      </c>
      <c r="F30">
        <v>1616.964618236138</v>
      </c>
      <c r="G30">
        <v>2619.4569181649549</v>
      </c>
      <c r="H30">
        <v>1624.2624595099239</v>
      </c>
      <c r="I30">
        <v>2614.2632557494881</v>
      </c>
      <c r="J30">
        <v>1622.165027322895</v>
      </c>
      <c r="K30">
        <v>3.126732086920244</v>
      </c>
      <c r="L30">
        <v>2617.32614990811</v>
      </c>
      <c r="M30">
        <v>2.1258422425050258</v>
      </c>
    </row>
    <row r="31" spans="1:13" x14ac:dyDescent="0.2">
      <c r="A31" s="1" t="s">
        <v>52</v>
      </c>
      <c r="B31">
        <v>12025.500783596161</v>
      </c>
      <c r="C31">
        <v>10452.81483745996</v>
      </c>
      <c r="D31">
        <v>11999.976482694041</v>
      </c>
      <c r="E31">
        <v>10457.689663939769</v>
      </c>
      <c r="F31">
        <v>11959.4326990794</v>
      </c>
      <c r="G31">
        <v>10470.842511940449</v>
      </c>
      <c r="H31">
        <v>11964.903176516091</v>
      </c>
      <c r="I31">
        <v>10466.87436282067</v>
      </c>
      <c r="J31">
        <v>11987.45328547142</v>
      </c>
      <c r="K31">
        <v>26.917017191172501</v>
      </c>
      <c r="L31">
        <v>10462.055344040209</v>
      </c>
      <c r="M31">
        <v>7.1568740786837557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workbookViewId="0"/>
  </sheetViews>
  <sheetFormatPr baseColWidth="10" defaultColWidth="8.83203125" defaultRowHeight="15" x14ac:dyDescent="0.2"/>
  <cols>
    <col min="1" max="1" width="60" customWidth="1"/>
    <col min="2" max="3" width="20" customWidth="1"/>
    <col min="4" max="5" width="7" customWidth="1"/>
    <col min="6" max="6" width="20" customWidth="1"/>
    <col min="7" max="7" width="22" customWidth="1"/>
  </cols>
  <sheetData>
    <row r="1" spans="1:7" x14ac:dyDescent="0.2">
      <c r="A1" s="1" t="s">
        <v>0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9</v>
      </c>
      <c r="G1" s="1" t="s">
        <v>10</v>
      </c>
    </row>
    <row r="2" spans="1:7" x14ac:dyDescent="0.2">
      <c r="A2" s="1" t="s">
        <v>312</v>
      </c>
      <c r="B2">
        <v>1</v>
      </c>
      <c r="C2">
        <v>1</v>
      </c>
      <c r="F2">
        <v>1</v>
      </c>
      <c r="G2">
        <v>0</v>
      </c>
    </row>
    <row r="3" spans="1:7" x14ac:dyDescent="0.2">
      <c r="A3" s="1" t="s">
        <v>313</v>
      </c>
      <c r="B3">
        <v>23.62223465072088</v>
      </c>
      <c r="C3">
        <v>23.530676131612712</v>
      </c>
      <c r="F3">
        <v>23.5764553911668</v>
      </c>
      <c r="G3">
        <v>4.5779259554088007E-2</v>
      </c>
    </row>
    <row r="4" spans="1:7" x14ac:dyDescent="0.2">
      <c r="A4" s="1" t="s">
        <v>314</v>
      </c>
      <c r="B4">
        <v>2547.2243351992902</v>
      </c>
      <c r="C4">
        <v>2533.4682844070162</v>
      </c>
      <c r="F4">
        <v>2540.346309803153</v>
      </c>
      <c r="G4">
        <v>6.8780253961367626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EmissionsEstimator</vt:lpstr>
      <vt:lpstr>animal DMI pen3</vt:lpstr>
      <vt:lpstr>animal enteric methane emission</vt:lpstr>
      <vt:lpstr>animal herd statiscs milk prod</vt:lpstr>
      <vt:lpstr>animal manure streams</vt:lpstr>
      <vt:lpstr>manure pens</vt:lpstr>
      <vt:lpstr>ration</vt:lpstr>
      <vt:lpstr>ration optimizer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Yijing Gong</cp:lastModifiedBy>
  <dcterms:created xsi:type="dcterms:W3CDTF">2026-04-18T02:36:57Z</dcterms:created>
  <dcterms:modified xsi:type="dcterms:W3CDTF">2026-04-21T18:28:22Z</dcterms:modified>
</cp:coreProperties>
</file>